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6730" activeTab="1"/>
  </bookViews>
  <sheets>
    <sheet name="Pivot Table" sheetId="2" r:id="rId1"/>
    <sheet name="Dashboard" sheetId="3" r:id="rId2"/>
    <sheet name="Dataset" sheetId="1" r:id="rId3"/>
  </sheets>
  <definedNames>
    <definedName name="_xlnm._FilterDatabase" localSheetId="2" hidden="1">Dataset!$O$1:$P$501</definedName>
    <definedName name="Slicer_Game_Name1">#N/A</definedName>
    <definedName name="Slicer_Platform1">#N/A</definedName>
    <definedName name="Slicer_Player_Type1">#N/A</definedName>
    <definedName name="Slicer_Purchase_Type1">#N/A</definedName>
    <definedName name="Slicer_Region">#N/A</definedName>
    <definedName name="Slicer_Region1">#N/A</definedName>
    <definedName name="Slicer_Years">#N/A</definedName>
  </definedNames>
  <calcPr calcId="152511"/>
  <pivotCaches>
    <pivotCache cacheId="18" r:id="rId4"/>
    <pivotCache cacheId="16"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U501" i="1" l="1"/>
  <c r="R501" i="1"/>
  <c r="Q501" i="1"/>
  <c r="P501" i="1"/>
  <c r="O501" i="1"/>
  <c r="U500" i="1"/>
  <c r="R500" i="1"/>
  <c r="Q500" i="1"/>
  <c r="P500" i="1"/>
  <c r="O500" i="1"/>
  <c r="U499" i="1"/>
  <c r="R499" i="1"/>
  <c r="Q499" i="1"/>
  <c r="P499" i="1"/>
  <c r="O499" i="1"/>
  <c r="U498" i="1"/>
  <c r="R498" i="1"/>
  <c r="Q498" i="1"/>
  <c r="P498" i="1"/>
  <c r="O498" i="1"/>
  <c r="U497" i="1"/>
  <c r="R497" i="1"/>
  <c r="Q497" i="1"/>
  <c r="P497" i="1"/>
  <c r="O497" i="1"/>
  <c r="U496" i="1"/>
  <c r="R496" i="1"/>
  <c r="Q496" i="1"/>
  <c r="P496" i="1"/>
  <c r="O496" i="1"/>
  <c r="U495" i="1"/>
  <c r="R495" i="1"/>
  <c r="Q495" i="1"/>
  <c r="P495" i="1"/>
  <c r="O495" i="1"/>
  <c r="U494" i="1"/>
  <c r="R494" i="1"/>
  <c r="Q494" i="1"/>
  <c r="P494" i="1"/>
  <c r="O494" i="1"/>
  <c r="U493" i="1"/>
  <c r="R493" i="1"/>
  <c r="Q493" i="1"/>
  <c r="P493" i="1"/>
  <c r="O493" i="1"/>
  <c r="U492" i="1"/>
  <c r="R492" i="1"/>
  <c r="Q492" i="1"/>
  <c r="P492" i="1"/>
  <c r="O492" i="1"/>
  <c r="U491" i="1"/>
  <c r="R491" i="1"/>
  <c r="Q491" i="1"/>
  <c r="P491" i="1"/>
  <c r="O491" i="1"/>
  <c r="U490" i="1"/>
  <c r="R490" i="1"/>
  <c r="Q490" i="1"/>
  <c r="P490" i="1"/>
  <c r="O490" i="1"/>
  <c r="U489" i="1"/>
  <c r="R489" i="1"/>
  <c r="Q489" i="1"/>
  <c r="P489" i="1"/>
  <c r="O489" i="1"/>
  <c r="U488" i="1"/>
  <c r="R488" i="1"/>
  <c r="Q488" i="1"/>
  <c r="P488" i="1"/>
  <c r="O488" i="1"/>
  <c r="U487" i="1"/>
  <c r="R487" i="1"/>
  <c r="Q487" i="1"/>
  <c r="P487" i="1"/>
  <c r="O487" i="1"/>
  <c r="U486" i="1"/>
  <c r="R486" i="1"/>
  <c r="Q486" i="1"/>
  <c r="P486" i="1"/>
  <c r="O486" i="1"/>
  <c r="U485" i="1"/>
  <c r="R485" i="1"/>
  <c r="Q485" i="1"/>
  <c r="P485" i="1"/>
  <c r="O485" i="1"/>
  <c r="U484" i="1"/>
  <c r="R484" i="1"/>
  <c r="Q484" i="1"/>
  <c r="P484" i="1"/>
  <c r="O484" i="1"/>
  <c r="U483" i="1"/>
  <c r="R483" i="1"/>
  <c r="Q483" i="1"/>
  <c r="P483" i="1"/>
  <c r="O483" i="1"/>
  <c r="U482" i="1"/>
  <c r="R482" i="1"/>
  <c r="Q482" i="1"/>
  <c r="P482" i="1"/>
  <c r="O482" i="1"/>
  <c r="U481" i="1"/>
  <c r="R481" i="1"/>
  <c r="Q481" i="1"/>
  <c r="P481" i="1"/>
  <c r="O481" i="1"/>
  <c r="U480" i="1"/>
  <c r="R480" i="1"/>
  <c r="Q480" i="1"/>
  <c r="P480" i="1"/>
  <c r="O480" i="1"/>
  <c r="U479" i="1"/>
  <c r="R479" i="1"/>
  <c r="Q479" i="1"/>
  <c r="P479" i="1"/>
  <c r="O479" i="1"/>
  <c r="U478" i="1"/>
  <c r="R478" i="1"/>
  <c r="Q478" i="1"/>
  <c r="P478" i="1"/>
  <c r="O478" i="1"/>
  <c r="U477" i="1"/>
  <c r="R477" i="1"/>
  <c r="Q477" i="1"/>
  <c r="P477" i="1"/>
  <c r="O477" i="1"/>
  <c r="U476" i="1"/>
  <c r="R476" i="1"/>
  <c r="Q476" i="1"/>
  <c r="P476" i="1"/>
  <c r="O476" i="1"/>
  <c r="U475" i="1"/>
  <c r="R475" i="1"/>
  <c r="Q475" i="1"/>
  <c r="P475" i="1"/>
  <c r="O475" i="1"/>
  <c r="U474" i="1"/>
  <c r="R474" i="1"/>
  <c r="Q474" i="1"/>
  <c r="P474" i="1"/>
  <c r="O474" i="1"/>
  <c r="U473" i="1"/>
  <c r="R473" i="1"/>
  <c r="Q473" i="1"/>
  <c r="P473" i="1"/>
  <c r="O473" i="1"/>
  <c r="U472" i="1"/>
  <c r="R472" i="1"/>
  <c r="Q472" i="1"/>
  <c r="P472" i="1"/>
  <c r="O472" i="1"/>
  <c r="U471" i="1"/>
  <c r="R471" i="1"/>
  <c r="Q471" i="1"/>
  <c r="P471" i="1"/>
  <c r="O471" i="1"/>
  <c r="U470" i="1"/>
  <c r="R470" i="1"/>
  <c r="Q470" i="1"/>
  <c r="P470" i="1"/>
  <c r="O470" i="1"/>
  <c r="U469" i="1"/>
  <c r="R469" i="1"/>
  <c r="Q469" i="1"/>
  <c r="P469" i="1"/>
  <c r="O469" i="1"/>
  <c r="U468" i="1"/>
  <c r="R468" i="1"/>
  <c r="Q468" i="1"/>
  <c r="P468" i="1"/>
  <c r="O468" i="1"/>
  <c r="U467" i="1"/>
  <c r="R467" i="1"/>
  <c r="Q467" i="1"/>
  <c r="P467" i="1"/>
  <c r="O467" i="1"/>
  <c r="U466" i="1"/>
  <c r="R466" i="1"/>
  <c r="Q466" i="1"/>
  <c r="P466" i="1"/>
  <c r="O466" i="1"/>
  <c r="U465" i="1"/>
  <c r="R465" i="1"/>
  <c r="Q465" i="1"/>
  <c r="P465" i="1"/>
  <c r="O465" i="1"/>
  <c r="U464" i="1"/>
  <c r="R464" i="1"/>
  <c r="Q464" i="1"/>
  <c r="P464" i="1"/>
  <c r="O464" i="1"/>
  <c r="U463" i="1"/>
  <c r="R463" i="1"/>
  <c r="Q463" i="1"/>
  <c r="P463" i="1"/>
  <c r="O463" i="1"/>
  <c r="U462" i="1"/>
  <c r="R462" i="1"/>
  <c r="Q462" i="1"/>
  <c r="P462" i="1"/>
  <c r="O462" i="1"/>
  <c r="U461" i="1"/>
  <c r="R461" i="1"/>
  <c r="Q461" i="1"/>
  <c r="P461" i="1"/>
  <c r="O461" i="1"/>
  <c r="U460" i="1"/>
  <c r="R460" i="1"/>
  <c r="Q460" i="1"/>
  <c r="P460" i="1"/>
  <c r="O460" i="1"/>
  <c r="U459" i="1"/>
  <c r="R459" i="1"/>
  <c r="Q459" i="1"/>
  <c r="P459" i="1"/>
  <c r="O459" i="1"/>
  <c r="U458" i="1"/>
  <c r="R458" i="1"/>
  <c r="Q458" i="1"/>
  <c r="P458" i="1"/>
  <c r="O458" i="1"/>
  <c r="U457" i="1"/>
  <c r="R457" i="1"/>
  <c r="Q457" i="1"/>
  <c r="P457" i="1"/>
  <c r="O457" i="1"/>
  <c r="U456" i="1"/>
  <c r="R456" i="1"/>
  <c r="Q456" i="1"/>
  <c r="P456" i="1"/>
  <c r="O456" i="1"/>
  <c r="U455" i="1"/>
  <c r="R455" i="1"/>
  <c r="Q455" i="1"/>
  <c r="P455" i="1"/>
  <c r="O455" i="1"/>
  <c r="U454" i="1"/>
  <c r="R454" i="1"/>
  <c r="Q454" i="1"/>
  <c r="P454" i="1"/>
  <c r="O454" i="1"/>
  <c r="U453" i="1"/>
  <c r="R453" i="1"/>
  <c r="Q453" i="1"/>
  <c r="P453" i="1"/>
  <c r="O453" i="1"/>
  <c r="U452" i="1"/>
  <c r="R452" i="1"/>
  <c r="Q452" i="1"/>
  <c r="P452" i="1"/>
  <c r="O452" i="1"/>
  <c r="U451" i="1"/>
  <c r="R451" i="1"/>
  <c r="Q451" i="1"/>
  <c r="P451" i="1"/>
  <c r="O451" i="1"/>
  <c r="U450" i="1"/>
  <c r="R450" i="1"/>
  <c r="Q450" i="1"/>
  <c r="P450" i="1"/>
  <c r="O450" i="1"/>
  <c r="U449" i="1"/>
  <c r="R449" i="1"/>
  <c r="Q449" i="1"/>
  <c r="P449" i="1"/>
  <c r="O449" i="1"/>
  <c r="U448" i="1"/>
  <c r="R448" i="1"/>
  <c r="Q448" i="1"/>
  <c r="P448" i="1"/>
  <c r="O448" i="1"/>
  <c r="U447" i="1"/>
  <c r="R447" i="1"/>
  <c r="Q447" i="1"/>
  <c r="P447" i="1"/>
  <c r="O447" i="1"/>
  <c r="U446" i="1"/>
  <c r="R446" i="1"/>
  <c r="Q446" i="1"/>
  <c r="P446" i="1"/>
  <c r="O446" i="1"/>
  <c r="U445" i="1"/>
  <c r="R445" i="1"/>
  <c r="Q445" i="1"/>
  <c r="P445" i="1"/>
  <c r="O445" i="1"/>
  <c r="U444" i="1"/>
  <c r="R444" i="1"/>
  <c r="Q444" i="1"/>
  <c r="P444" i="1"/>
  <c r="O444" i="1"/>
  <c r="U443" i="1"/>
  <c r="R443" i="1"/>
  <c r="Q443" i="1"/>
  <c r="P443" i="1"/>
  <c r="O443" i="1"/>
  <c r="U442" i="1"/>
  <c r="R442" i="1"/>
  <c r="Q442" i="1"/>
  <c r="P442" i="1"/>
  <c r="O442" i="1"/>
  <c r="U441" i="1"/>
  <c r="R441" i="1"/>
  <c r="Q441" i="1"/>
  <c r="P441" i="1"/>
  <c r="O441" i="1"/>
  <c r="U440" i="1"/>
  <c r="R440" i="1"/>
  <c r="Q440" i="1"/>
  <c r="P440" i="1"/>
  <c r="O440" i="1"/>
  <c r="U439" i="1"/>
  <c r="R439" i="1"/>
  <c r="Q439" i="1"/>
  <c r="P439" i="1"/>
  <c r="O439" i="1"/>
  <c r="U438" i="1"/>
  <c r="R438" i="1"/>
  <c r="Q438" i="1"/>
  <c r="P438" i="1"/>
  <c r="O438" i="1"/>
  <c r="U437" i="1"/>
  <c r="R437" i="1"/>
  <c r="Q437" i="1"/>
  <c r="P437" i="1"/>
  <c r="O437" i="1"/>
  <c r="U436" i="1"/>
  <c r="R436" i="1"/>
  <c r="Q436" i="1"/>
  <c r="P436" i="1"/>
  <c r="O436" i="1"/>
  <c r="U435" i="1"/>
  <c r="R435" i="1"/>
  <c r="Q435" i="1"/>
  <c r="P435" i="1"/>
  <c r="O435" i="1"/>
  <c r="U434" i="1"/>
  <c r="R434" i="1"/>
  <c r="Q434" i="1"/>
  <c r="P434" i="1"/>
  <c r="O434" i="1"/>
  <c r="U433" i="1"/>
  <c r="R433" i="1"/>
  <c r="Q433" i="1"/>
  <c r="P433" i="1"/>
  <c r="O433" i="1"/>
  <c r="U432" i="1"/>
  <c r="R432" i="1"/>
  <c r="Q432" i="1"/>
  <c r="P432" i="1"/>
  <c r="O432" i="1"/>
  <c r="U431" i="1"/>
  <c r="R431" i="1"/>
  <c r="Q431" i="1"/>
  <c r="P431" i="1"/>
  <c r="O431" i="1"/>
  <c r="U430" i="1"/>
  <c r="R430" i="1"/>
  <c r="Q430" i="1"/>
  <c r="P430" i="1"/>
  <c r="O430" i="1"/>
  <c r="U429" i="1"/>
  <c r="R429" i="1"/>
  <c r="Q429" i="1"/>
  <c r="P429" i="1"/>
  <c r="O429" i="1"/>
  <c r="U428" i="1"/>
  <c r="R428" i="1"/>
  <c r="Q428" i="1"/>
  <c r="P428" i="1"/>
  <c r="O428" i="1"/>
  <c r="U427" i="1"/>
  <c r="R427" i="1"/>
  <c r="Q427" i="1"/>
  <c r="P427" i="1"/>
  <c r="O427" i="1"/>
  <c r="U426" i="1"/>
  <c r="R426" i="1"/>
  <c r="Q426" i="1"/>
  <c r="P426" i="1"/>
  <c r="O426" i="1"/>
  <c r="U425" i="1"/>
  <c r="R425" i="1"/>
  <c r="Q425" i="1"/>
  <c r="P425" i="1"/>
  <c r="O425" i="1"/>
  <c r="U424" i="1"/>
  <c r="R424" i="1"/>
  <c r="Q424" i="1"/>
  <c r="P424" i="1"/>
  <c r="O424" i="1"/>
  <c r="U423" i="1"/>
  <c r="R423" i="1"/>
  <c r="Q423" i="1"/>
  <c r="P423" i="1"/>
  <c r="O423" i="1"/>
  <c r="U422" i="1"/>
  <c r="R422" i="1"/>
  <c r="Q422" i="1"/>
  <c r="P422" i="1"/>
  <c r="O422" i="1"/>
  <c r="U421" i="1"/>
  <c r="R421" i="1"/>
  <c r="Q421" i="1"/>
  <c r="P421" i="1"/>
  <c r="O421" i="1"/>
  <c r="U420" i="1"/>
  <c r="R420" i="1"/>
  <c r="Q420" i="1"/>
  <c r="P420" i="1"/>
  <c r="O420" i="1"/>
  <c r="U419" i="1"/>
  <c r="R419" i="1"/>
  <c r="Q419" i="1"/>
  <c r="P419" i="1"/>
  <c r="O419" i="1"/>
  <c r="U418" i="1"/>
  <c r="R418" i="1"/>
  <c r="Q418" i="1"/>
  <c r="P418" i="1"/>
  <c r="O418" i="1"/>
  <c r="U417" i="1"/>
  <c r="R417" i="1"/>
  <c r="Q417" i="1"/>
  <c r="P417" i="1"/>
  <c r="O417" i="1"/>
  <c r="U416" i="1"/>
  <c r="R416" i="1"/>
  <c r="Q416" i="1"/>
  <c r="P416" i="1"/>
  <c r="O416" i="1"/>
  <c r="U415" i="1"/>
  <c r="R415" i="1"/>
  <c r="Q415" i="1"/>
  <c r="P415" i="1"/>
  <c r="O415" i="1"/>
  <c r="U414" i="1"/>
  <c r="R414" i="1"/>
  <c r="Q414" i="1"/>
  <c r="P414" i="1"/>
  <c r="O414" i="1"/>
  <c r="U413" i="1"/>
  <c r="R413" i="1"/>
  <c r="Q413" i="1"/>
  <c r="P413" i="1"/>
  <c r="O413" i="1"/>
  <c r="U412" i="1"/>
  <c r="R412" i="1"/>
  <c r="Q412" i="1"/>
  <c r="P412" i="1"/>
  <c r="O412" i="1"/>
  <c r="U411" i="1"/>
  <c r="R411" i="1"/>
  <c r="Q411" i="1"/>
  <c r="P411" i="1"/>
  <c r="O411" i="1"/>
  <c r="U410" i="1"/>
  <c r="R410" i="1"/>
  <c r="Q410" i="1"/>
  <c r="P410" i="1"/>
  <c r="O410" i="1"/>
  <c r="U409" i="1"/>
  <c r="R409" i="1"/>
  <c r="Q409" i="1"/>
  <c r="P409" i="1"/>
  <c r="O409" i="1"/>
  <c r="U408" i="1"/>
  <c r="R408" i="1"/>
  <c r="Q408" i="1"/>
  <c r="P408" i="1"/>
  <c r="O408" i="1"/>
  <c r="U407" i="1"/>
  <c r="R407" i="1"/>
  <c r="Q407" i="1"/>
  <c r="P407" i="1"/>
  <c r="O407" i="1"/>
  <c r="U406" i="1"/>
  <c r="R406" i="1"/>
  <c r="Q406" i="1"/>
  <c r="P406" i="1"/>
  <c r="O406" i="1"/>
  <c r="U405" i="1"/>
  <c r="R405" i="1"/>
  <c r="Q405" i="1"/>
  <c r="P405" i="1"/>
  <c r="O405" i="1"/>
  <c r="U404" i="1"/>
  <c r="R404" i="1"/>
  <c r="Q404" i="1"/>
  <c r="P404" i="1"/>
  <c r="O404" i="1"/>
  <c r="U403" i="1"/>
  <c r="R403" i="1"/>
  <c r="Q403" i="1"/>
  <c r="P403" i="1"/>
  <c r="O403" i="1"/>
  <c r="U402" i="1"/>
  <c r="R402" i="1"/>
  <c r="Q402" i="1"/>
  <c r="P402" i="1"/>
  <c r="O402" i="1"/>
  <c r="U401" i="1"/>
  <c r="R401" i="1"/>
  <c r="Q401" i="1"/>
  <c r="P401" i="1"/>
  <c r="O401" i="1"/>
  <c r="U400" i="1"/>
  <c r="R400" i="1"/>
  <c r="Q400" i="1"/>
  <c r="P400" i="1"/>
  <c r="O400" i="1"/>
  <c r="U399" i="1"/>
  <c r="R399" i="1"/>
  <c r="Q399" i="1"/>
  <c r="P399" i="1"/>
  <c r="O399" i="1"/>
  <c r="U398" i="1"/>
  <c r="R398" i="1"/>
  <c r="Q398" i="1"/>
  <c r="P398" i="1"/>
  <c r="O398" i="1"/>
  <c r="U397" i="1"/>
  <c r="R397" i="1"/>
  <c r="Q397" i="1"/>
  <c r="P397" i="1"/>
  <c r="O397" i="1"/>
  <c r="U396" i="1"/>
  <c r="R396" i="1"/>
  <c r="Q396" i="1"/>
  <c r="P396" i="1"/>
  <c r="O396" i="1"/>
  <c r="U395" i="1"/>
  <c r="R395" i="1"/>
  <c r="Q395" i="1"/>
  <c r="P395" i="1"/>
  <c r="O395" i="1"/>
  <c r="U394" i="1"/>
  <c r="R394" i="1"/>
  <c r="Q394" i="1"/>
  <c r="P394" i="1"/>
  <c r="O394" i="1"/>
  <c r="U393" i="1"/>
  <c r="R393" i="1"/>
  <c r="Q393" i="1"/>
  <c r="P393" i="1"/>
  <c r="O393" i="1"/>
  <c r="U392" i="1"/>
  <c r="R392" i="1"/>
  <c r="Q392" i="1"/>
  <c r="P392" i="1"/>
  <c r="O392" i="1"/>
  <c r="U391" i="1"/>
  <c r="R391" i="1"/>
  <c r="Q391" i="1"/>
  <c r="P391" i="1"/>
  <c r="O391" i="1"/>
  <c r="U390" i="1"/>
  <c r="R390" i="1"/>
  <c r="Q390" i="1"/>
  <c r="P390" i="1"/>
  <c r="O390" i="1"/>
  <c r="U389" i="1"/>
  <c r="R389" i="1"/>
  <c r="Q389" i="1"/>
  <c r="P389" i="1"/>
  <c r="O389" i="1"/>
  <c r="U388" i="1"/>
  <c r="R388" i="1"/>
  <c r="Q388" i="1"/>
  <c r="P388" i="1"/>
  <c r="O388" i="1"/>
  <c r="U387" i="1"/>
  <c r="R387" i="1"/>
  <c r="Q387" i="1"/>
  <c r="P387" i="1"/>
  <c r="O387" i="1"/>
  <c r="U386" i="1"/>
  <c r="R386" i="1"/>
  <c r="Q386" i="1"/>
  <c r="P386" i="1"/>
  <c r="O386" i="1"/>
  <c r="U385" i="1"/>
  <c r="R385" i="1"/>
  <c r="Q385" i="1"/>
  <c r="P385" i="1"/>
  <c r="O385" i="1"/>
  <c r="U384" i="1"/>
  <c r="R384" i="1"/>
  <c r="Q384" i="1"/>
  <c r="P384" i="1"/>
  <c r="O384" i="1"/>
  <c r="U383" i="1"/>
  <c r="R383" i="1"/>
  <c r="Q383" i="1"/>
  <c r="P383" i="1"/>
  <c r="O383" i="1"/>
  <c r="U382" i="1"/>
  <c r="R382" i="1"/>
  <c r="Q382" i="1"/>
  <c r="P382" i="1"/>
  <c r="O382" i="1"/>
  <c r="U381" i="1"/>
  <c r="R381" i="1"/>
  <c r="Q381" i="1"/>
  <c r="P381" i="1"/>
  <c r="O381" i="1"/>
  <c r="U380" i="1"/>
  <c r="R380" i="1"/>
  <c r="Q380" i="1"/>
  <c r="P380" i="1"/>
  <c r="O380" i="1"/>
  <c r="U379" i="1"/>
  <c r="R379" i="1"/>
  <c r="Q379" i="1"/>
  <c r="P379" i="1"/>
  <c r="O379" i="1"/>
  <c r="U378" i="1"/>
  <c r="R378" i="1"/>
  <c r="Q378" i="1"/>
  <c r="P378" i="1"/>
  <c r="O378" i="1"/>
  <c r="U377" i="1"/>
  <c r="R377" i="1"/>
  <c r="Q377" i="1"/>
  <c r="P377" i="1"/>
  <c r="O377" i="1"/>
  <c r="U376" i="1"/>
  <c r="R376" i="1"/>
  <c r="Q376" i="1"/>
  <c r="P376" i="1"/>
  <c r="O376" i="1"/>
  <c r="U375" i="1"/>
  <c r="R375" i="1"/>
  <c r="Q375" i="1"/>
  <c r="P375" i="1"/>
  <c r="O375" i="1"/>
  <c r="U374" i="1"/>
  <c r="R374" i="1"/>
  <c r="Q374" i="1"/>
  <c r="P374" i="1"/>
  <c r="O374" i="1"/>
  <c r="U373" i="1"/>
  <c r="R373" i="1"/>
  <c r="Q373" i="1"/>
  <c r="P373" i="1"/>
  <c r="O373" i="1"/>
  <c r="U372" i="1"/>
  <c r="R372" i="1"/>
  <c r="Q372" i="1"/>
  <c r="P372" i="1"/>
  <c r="O372" i="1"/>
  <c r="U371" i="1"/>
  <c r="R371" i="1"/>
  <c r="Q371" i="1"/>
  <c r="P371" i="1"/>
  <c r="O371" i="1"/>
  <c r="U370" i="1"/>
  <c r="R370" i="1"/>
  <c r="Q370" i="1"/>
  <c r="P370" i="1"/>
  <c r="O370" i="1"/>
  <c r="U369" i="1"/>
  <c r="R369" i="1"/>
  <c r="Q369" i="1"/>
  <c r="P369" i="1"/>
  <c r="O369" i="1"/>
  <c r="U368" i="1"/>
  <c r="R368" i="1"/>
  <c r="Q368" i="1"/>
  <c r="P368" i="1"/>
  <c r="O368" i="1"/>
  <c r="U367" i="1"/>
  <c r="R367" i="1"/>
  <c r="Q367" i="1"/>
  <c r="P367" i="1"/>
  <c r="O367" i="1"/>
  <c r="U366" i="1"/>
  <c r="R366" i="1"/>
  <c r="Q366" i="1"/>
  <c r="P366" i="1"/>
  <c r="O366" i="1"/>
  <c r="U365" i="1"/>
  <c r="R365" i="1"/>
  <c r="Q365" i="1"/>
  <c r="P365" i="1"/>
  <c r="O365" i="1"/>
  <c r="U364" i="1"/>
  <c r="R364" i="1"/>
  <c r="Q364" i="1"/>
  <c r="P364" i="1"/>
  <c r="O364" i="1"/>
  <c r="U363" i="1"/>
  <c r="R363" i="1"/>
  <c r="Q363" i="1"/>
  <c r="P363" i="1"/>
  <c r="O363" i="1"/>
  <c r="U362" i="1"/>
  <c r="R362" i="1"/>
  <c r="Q362" i="1"/>
  <c r="P362" i="1"/>
  <c r="O362" i="1"/>
  <c r="U361" i="1"/>
  <c r="R361" i="1"/>
  <c r="Q361" i="1"/>
  <c r="P361" i="1"/>
  <c r="O361" i="1"/>
  <c r="U360" i="1"/>
  <c r="R360" i="1"/>
  <c r="Q360" i="1"/>
  <c r="P360" i="1"/>
  <c r="O360" i="1"/>
  <c r="U359" i="1"/>
  <c r="R359" i="1"/>
  <c r="Q359" i="1"/>
  <c r="P359" i="1"/>
  <c r="O359" i="1"/>
  <c r="U358" i="1"/>
  <c r="R358" i="1"/>
  <c r="Q358" i="1"/>
  <c r="P358" i="1"/>
  <c r="O358" i="1"/>
  <c r="U357" i="1"/>
  <c r="R357" i="1"/>
  <c r="Q357" i="1"/>
  <c r="P357" i="1"/>
  <c r="O357" i="1"/>
  <c r="U356" i="1"/>
  <c r="R356" i="1"/>
  <c r="Q356" i="1"/>
  <c r="P356" i="1"/>
  <c r="O356" i="1"/>
  <c r="U355" i="1"/>
  <c r="R355" i="1"/>
  <c r="Q355" i="1"/>
  <c r="P355" i="1"/>
  <c r="O355" i="1"/>
  <c r="U354" i="1"/>
  <c r="R354" i="1"/>
  <c r="Q354" i="1"/>
  <c r="P354" i="1"/>
  <c r="O354" i="1"/>
  <c r="U353" i="1"/>
  <c r="R353" i="1"/>
  <c r="Q353" i="1"/>
  <c r="P353" i="1"/>
  <c r="O353" i="1"/>
  <c r="U352" i="1"/>
  <c r="R352" i="1"/>
  <c r="Q352" i="1"/>
  <c r="P352" i="1"/>
  <c r="O352" i="1"/>
  <c r="U351" i="1"/>
  <c r="R351" i="1"/>
  <c r="Q351" i="1"/>
  <c r="P351" i="1"/>
  <c r="O351" i="1"/>
  <c r="U350" i="1"/>
  <c r="R350" i="1"/>
  <c r="Q350" i="1"/>
  <c r="P350" i="1"/>
  <c r="O350" i="1"/>
  <c r="U349" i="1"/>
  <c r="R349" i="1"/>
  <c r="Q349" i="1"/>
  <c r="P349" i="1"/>
  <c r="O349" i="1"/>
  <c r="U348" i="1"/>
  <c r="R348" i="1"/>
  <c r="Q348" i="1"/>
  <c r="P348" i="1"/>
  <c r="O348" i="1"/>
  <c r="U347" i="1"/>
  <c r="R347" i="1"/>
  <c r="Q347" i="1"/>
  <c r="P347" i="1"/>
  <c r="O347" i="1"/>
  <c r="U346" i="1"/>
  <c r="R346" i="1"/>
  <c r="Q346" i="1"/>
  <c r="P346" i="1"/>
  <c r="O346" i="1"/>
  <c r="U345" i="1"/>
  <c r="R345" i="1"/>
  <c r="Q345" i="1"/>
  <c r="P345" i="1"/>
  <c r="O345" i="1"/>
  <c r="U344" i="1"/>
  <c r="R344" i="1"/>
  <c r="Q344" i="1"/>
  <c r="P344" i="1"/>
  <c r="O344" i="1"/>
  <c r="U343" i="1"/>
  <c r="R343" i="1"/>
  <c r="Q343" i="1"/>
  <c r="P343" i="1"/>
  <c r="O343" i="1"/>
  <c r="U342" i="1"/>
  <c r="R342" i="1"/>
  <c r="Q342" i="1"/>
  <c r="P342" i="1"/>
  <c r="O342" i="1"/>
  <c r="U341" i="1"/>
  <c r="R341" i="1"/>
  <c r="Q341" i="1"/>
  <c r="P341" i="1"/>
  <c r="O341" i="1"/>
  <c r="U340" i="1"/>
  <c r="R340" i="1"/>
  <c r="Q340" i="1"/>
  <c r="P340" i="1"/>
  <c r="O340" i="1"/>
  <c r="U339" i="1"/>
  <c r="R339" i="1"/>
  <c r="Q339" i="1"/>
  <c r="P339" i="1"/>
  <c r="O339" i="1"/>
  <c r="U338" i="1"/>
  <c r="R338" i="1"/>
  <c r="Q338" i="1"/>
  <c r="P338" i="1"/>
  <c r="O338" i="1"/>
  <c r="U337" i="1"/>
  <c r="R337" i="1"/>
  <c r="Q337" i="1"/>
  <c r="P337" i="1"/>
  <c r="O337" i="1"/>
  <c r="U336" i="1"/>
  <c r="R336" i="1"/>
  <c r="Q336" i="1"/>
  <c r="P336" i="1"/>
  <c r="O336" i="1"/>
  <c r="U335" i="1"/>
  <c r="R335" i="1"/>
  <c r="Q335" i="1"/>
  <c r="P335" i="1"/>
  <c r="O335" i="1"/>
  <c r="U334" i="1"/>
  <c r="R334" i="1"/>
  <c r="Q334" i="1"/>
  <c r="P334" i="1"/>
  <c r="O334" i="1"/>
  <c r="U333" i="1"/>
  <c r="R333" i="1"/>
  <c r="Q333" i="1"/>
  <c r="P333" i="1"/>
  <c r="O333" i="1"/>
  <c r="U332" i="1"/>
  <c r="R332" i="1"/>
  <c r="Q332" i="1"/>
  <c r="P332" i="1"/>
  <c r="O332" i="1"/>
  <c r="U331" i="1"/>
  <c r="R331" i="1"/>
  <c r="Q331" i="1"/>
  <c r="P331" i="1"/>
  <c r="O331" i="1"/>
  <c r="U330" i="1"/>
  <c r="R330" i="1"/>
  <c r="Q330" i="1"/>
  <c r="P330" i="1"/>
  <c r="O330" i="1"/>
  <c r="U329" i="1"/>
  <c r="R329" i="1"/>
  <c r="Q329" i="1"/>
  <c r="P329" i="1"/>
  <c r="O329" i="1"/>
  <c r="U328" i="1"/>
  <c r="R328" i="1"/>
  <c r="Q328" i="1"/>
  <c r="P328" i="1"/>
  <c r="O328" i="1"/>
  <c r="U327" i="1"/>
  <c r="R327" i="1"/>
  <c r="Q327" i="1"/>
  <c r="P327" i="1"/>
  <c r="O327" i="1"/>
  <c r="U326" i="1"/>
  <c r="R326" i="1"/>
  <c r="Q326" i="1"/>
  <c r="P326" i="1"/>
  <c r="O326" i="1"/>
  <c r="U325" i="1"/>
  <c r="R325" i="1"/>
  <c r="Q325" i="1"/>
  <c r="P325" i="1"/>
  <c r="O325" i="1"/>
  <c r="U324" i="1"/>
  <c r="R324" i="1"/>
  <c r="Q324" i="1"/>
  <c r="P324" i="1"/>
  <c r="O324" i="1"/>
  <c r="U323" i="1"/>
  <c r="R323" i="1"/>
  <c r="Q323" i="1"/>
  <c r="P323" i="1"/>
  <c r="O323" i="1"/>
  <c r="U322" i="1"/>
  <c r="R322" i="1"/>
  <c r="Q322" i="1"/>
  <c r="P322" i="1"/>
  <c r="O322" i="1"/>
  <c r="U321" i="1"/>
  <c r="R321" i="1"/>
  <c r="Q321" i="1"/>
  <c r="P321" i="1"/>
  <c r="O321" i="1"/>
  <c r="U320" i="1"/>
  <c r="R320" i="1"/>
  <c r="Q320" i="1"/>
  <c r="P320" i="1"/>
  <c r="O320" i="1"/>
  <c r="U319" i="1"/>
  <c r="R319" i="1"/>
  <c r="Q319" i="1"/>
  <c r="P319" i="1"/>
  <c r="O319" i="1"/>
  <c r="U318" i="1"/>
  <c r="R318" i="1"/>
  <c r="Q318" i="1"/>
  <c r="P318" i="1"/>
  <c r="O318" i="1"/>
  <c r="U317" i="1"/>
  <c r="R317" i="1"/>
  <c r="Q317" i="1"/>
  <c r="P317" i="1"/>
  <c r="O317" i="1"/>
  <c r="U316" i="1"/>
  <c r="R316" i="1"/>
  <c r="Q316" i="1"/>
  <c r="P316" i="1"/>
  <c r="O316" i="1"/>
  <c r="U315" i="1"/>
  <c r="R315" i="1"/>
  <c r="Q315" i="1"/>
  <c r="P315" i="1"/>
  <c r="O315" i="1"/>
  <c r="U314" i="1"/>
  <c r="R314" i="1"/>
  <c r="Q314" i="1"/>
  <c r="P314" i="1"/>
  <c r="O314" i="1"/>
  <c r="U313" i="1"/>
  <c r="R313" i="1"/>
  <c r="Q313" i="1"/>
  <c r="P313" i="1"/>
  <c r="O313" i="1"/>
  <c r="U312" i="1"/>
  <c r="R312" i="1"/>
  <c r="Q312" i="1"/>
  <c r="P312" i="1"/>
  <c r="O312" i="1"/>
  <c r="U311" i="1"/>
  <c r="R311" i="1"/>
  <c r="Q311" i="1"/>
  <c r="P311" i="1"/>
  <c r="O311" i="1"/>
  <c r="U310" i="1"/>
  <c r="R310" i="1"/>
  <c r="Q310" i="1"/>
  <c r="P310" i="1"/>
  <c r="O310" i="1"/>
  <c r="U309" i="1"/>
  <c r="R309" i="1"/>
  <c r="Q309" i="1"/>
  <c r="P309" i="1"/>
  <c r="O309" i="1"/>
  <c r="U308" i="1"/>
  <c r="R308" i="1"/>
  <c r="Q308" i="1"/>
  <c r="P308" i="1"/>
  <c r="O308" i="1"/>
  <c r="U307" i="1"/>
  <c r="R307" i="1"/>
  <c r="Q307" i="1"/>
  <c r="P307" i="1"/>
  <c r="O307" i="1"/>
  <c r="U306" i="1"/>
  <c r="R306" i="1"/>
  <c r="Q306" i="1"/>
  <c r="P306" i="1"/>
  <c r="O306" i="1"/>
  <c r="U305" i="1"/>
  <c r="R305" i="1"/>
  <c r="Q305" i="1"/>
  <c r="P305" i="1"/>
  <c r="O305" i="1"/>
  <c r="U304" i="1"/>
  <c r="R304" i="1"/>
  <c r="Q304" i="1"/>
  <c r="P304" i="1"/>
  <c r="O304" i="1"/>
  <c r="U303" i="1"/>
  <c r="R303" i="1"/>
  <c r="Q303" i="1"/>
  <c r="P303" i="1"/>
  <c r="O303" i="1"/>
  <c r="U302" i="1"/>
  <c r="R302" i="1"/>
  <c r="Q302" i="1"/>
  <c r="P302" i="1"/>
  <c r="O302" i="1"/>
  <c r="U301" i="1"/>
  <c r="R301" i="1"/>
  <c r="Q301" i="1"/>
  <c r="P301" i="1"/>
  <c r="O301" i="1"/>
  <c r="U300" i="1"/>
  <c r="R300" i="1"/>
  <c r="Q300" i="1"/>
  <c r="P300" i="1"/>
  <c r="O300" i="1"/>
  <c r="U299" i="1"/>
  <c r="R299" i="1"/>
  <c r="Q299" i="1"/>
  <c r="P299" i="1"/>
  <c r="O299" i="1"/>
  <c r="U298" i="1"/>
  <c r="R298" i="1"/>
  <c r="Q298" i="1"/>
  <c r="P298" i="1"/>
  <c r="O298" i="1"/>
  <c r="U297" i="1"/>
  <c r="R297" i="1"/>
  <c r="Q297" i="1"/>
  <c r="P297" i="1"/>
  <c r="O297" i="1"/>
  <c r="U296" i="1"/>
  <c r="R296" i="1"/>
  <c r="Q296" i="1"/>
  <c r="P296" i="1"/>
  <c r="O296" i="1"/>
  <c r="U295" i="1"/>
  <c r="R295" i="1"/>
  <c r="Q295" i="1"/>
  <c r="P295" i="1"/>
  <c r="O295" i="1"/>
  <c r="U294" i="1"/>
  <c r="R294" i="1"/>
  <c r="Q294" i="1"/>
  <c r="P294" i="1"/>
  <c r="O294" i="1"/>
  <c r="U293" i="1"/>
  <c r="R293" i="1"/>
  <c r="Q293" i="1"/>
  <c r="P293" i="1"/>
  <c r="O293" i="1"/>
  <c r="U292" i="1"/>
  <c r="R292" i="1"/>
  <c r="Q292" i="1"/>
  <c r="P292" i="1"/>
  <c r="O292" i="1"/>
  <c r="U291" i="1"/>
  <c r="R291" i="1"/>
  <c r="Q291" i="1"/>
  <c r="P291" i="1"/>
  <c r="O291" i="1"/>
  <c r="U290" i="1"/>
  <c r="R290" i="1"/>
  <c r="Q290" i="1"/>
  <c r="P290" i="1"/>
  <c r="O290" i="1"/>
  <c r="U289" i="1"/>
  <c r="R289" i="1"/>
  <c r="Q289" i="1"/>
  <c r="P289" i="1"/>
  <c r="O289" i="1"/>
  <c r="U288" i="1"/>
  <c r="R288" i="1"/>
  <c r="Q288" i="1"/>
  <c r="P288" i="1"/>
  <c r="O288" i="1"/>
  <c r="U287" i="1"/>
  <c r="R287" i="1"/>
  <c r="Q287" i="1"/>
  <c r="P287" i="1"/>
  <c r="O287" i="1"/>
  <c r="U286" i="1"/>
  <c r="R286" i="1"/>
  <c r="Q286" i="1"/>
  <c r="P286" i="1"/>
  <c r="O286" i="1"/>
  <c r="U285" i="1"/>
  <c r="R285" i="1"/>
  <c r="Q285" i="1"/>
  <c r="P285" i="1"/>
  <c r="O285" i="1"/>
  <c r="U284" i="1"/>
  <c r="R284" i="1"/>
  <c r="Q284" i="1"/>
  <c r="P284" i="1"/>
  <c r="O284" i="1"/>
  <c r="U283" i="1"/>
  <c r="R283" i="1"/>
  <c r="Q283" i="1"/>
  <c r="P283" i="1"/>
  <c r="O283" i="1"/>
  <c r="U282" i="1"/>
  <c r="R282" i="1"/>
  <c r="Q282" i="1"/>
  <c r="P282" i="1"/>
  <c r="O282" i="1"/>
  <c r="U281" i="1"/>
  <c r="R281" i="1"/>
  <c r="Q281" i="1"/>
  <c r="P281" i="1"/>
  <c r="O281" i="1"/>
  <c r="U280" i="1"/>
  <c r="R280" i="1"/>
  <c r="Q280" i="1"/>
  <c r="P280" i="1"/>
  <c r="O280" i="1"/>
  <c r="U279" i="1"/>
  <c r="R279" i="1"/>
  <c r="Q279" i="1"/>
  <c r="P279" i="1"/>
  <c r="O279" i="1"/>
  <c r="U278" i="1"/>
  <c r="R278" i="1"/>
  <c r="Q278" i="1"/>
  <c r="P278" i="1"/>
  <c r="O278" i="1"/>
  <c r="U277" i="1"/>
  <c r="R277" i="1"/>
  <c r="Q277" i="1"/>
  <c r="P277" i="1"/>
  <c r="O277" i="1"/>
  <c r="U276" i="1"/>
  <c r="R276" i="1"/>
  <c r="Q276" i="1"/>
  <c r="P276" i="1"/>
  <c r="O276" i="1"/>
  <c r="U275" i="1"/>
  <c r="R275" i="1"/>
  <c r="Q275" i="1"/>
  <c r="P275" i="1"/>
  <c r="O275" i="1"/>
  <c r="U274" i="1"/>
  <c r="R274" i="1"/>
  <c r="Q274" i="1"/>
  <c r="P274" i="1"/>
  <c r="O274" i="1"/>
  <c r="U273" i="1"/>
  <c r="R273" i="1"/>
  <c r="Q273" i="1"/>
  <c r="P273" i="1"/>
  <c r="O273" i="1"/>
  <c r="U272" i="1"/>
  <c r="R272" i="1"/>
  <c r="Q272" i="1"/>
  <c r="P272" i="1"/>
  <c r="O272" i="1"/>
  <c r="U271" i="1"/>
  <c r="R271" i="1"/>
  <c r="Q271" i="1"/>
  <c r="P271" i="1"/>
  <c r="O271" i="1"/>
  <c r="U270" i="1"/>
  <c r="R270" i="1"/>
  <c r="Q270" i="1"/>
  <c r="P270" i="1"/>
  <c r="O270" i="1"/>
  <c r="U269" i="1"/>
  <c r="R269" i="1"/>
  <c r="Q269" i="1"/>
  <c r="P269" i="1"/>
  <c r="O269" i="1"/>
  <c r="U268" i="1"/>
  <c r="R268" i="1"/>
  <c r="Q268" i="1"/>
  <c r="P268" i="1"/>
  <c r="O268" i="1"/>
  <c r="U267" i="1"/>
  <c r="R267" i="1"/>
  <c r="Q267" i="1"/>
  <c r="P267" i="1"/>
  <c r="O267" i="1"/>
  <c r="U266" i="1"/>
  <c r="R266" i="1"/>
  <c r="Q266" i="1"/>
  <c r="P266" i="1"/>
  <c r="O266" i="1"/>
  <c r="U265" i="1"/>
  <c r="R265" i="1"/>
  <c r="Q265" i="1"/>
  <c r="P265" i="1"/>
  <c r="O265" i="1"/>
  <c r="U264" i="1"/>
  <c r="R264" i="1"/>
  <c r="Q264" i="1"/>
  <c r="P264" i="1"/>
  <c r="O264" i="1"/>
  <c r="U263" i="1"/>
  <c r="R263" i="1"/>
  <c r="Q263" i="1"/>
  <c r="P263" i="1"/>
  <c r="O263" i="1"/>
  <c r="U262" i="1"/>
  <c r="R262" i="1"/>
  <c r="Q262" i="1"/>
  <c r="P262" i="1"/>
  <c r="O262" i="1"/>
  <c r="U261" i="1"/>
  <c r="R261" i="1"/>
  <c r="Q261" i="1"/>
  <c r="P261" i="1"/>
  <c r="O261" i="1"/>
  <c r="U260" i="1"/>
  <c r="R260" i="1"/>
  <c r="Q260" i="1"/>
  <c r="P260" i="1"/>
  <c r="O260" i="1"/>
  <c r="U259" i="1"/>
  <c r="R259" i="1"/>
  <c r="Q259" i="1"/>
  <c r="P259" i="1"/>
  <c r="O259" i="1"/>
  <c r="U258" i="1"/>
  <c r="R258" i="1"/>
  <c r="Q258" i="1"/>
  <c r="P258" i="1"/>
  <c r="O258" i="1"/>
  <c r="U257" i="1"/>
  <c r="R257" i="1"/>
  <c r="Q257" i="1"/>
  <c r="P257" i="1"/>
  <c r="O257" i="1"/>
  <c r="U256" i="1"/>
  <c r="R256" i="1"/>
  <c r="Q256" i="1"/>
  <c r="P256" i="1"/>
  <c r="O256" i="1"/>
  <c r="U255" i="1"/>
  <c r="R255" i="1"/>
  <c r="Q255" i="1"/>
  <c r="P255" i="1"/>
  <c r="O255" i="1"/>
  <c r="U254" i="1"/>
  <c r="R254" i="1"/>
  <c r="Q254" i="1"/>
  <c r="P254" i="1"/>
  <c r="O254" i="1"/>
  <c r="U253" i="1"/>
  <c r="R253" i="1"/>
  <c r="Q253" i="1"/>
  <c r="P253" i="1"/>
  <c r="O253" i="1"/>
  <c r="U252" i="1"/>
  <c r="R252" i="1"/>
  <c r="Q252" i="1"/>
  <c r="P252" i="1"/>
  <c r="O252" i="1"/>
  <c r="U251" i="1"/>
  <c r="R251" i="1"/>
  <c r="Q251" i="1"/>
  <c r="P251" i="1"/>
  <c r="O251" i="1"/>
  <c r="U250" i="1"/>
  <c r="R250" i="1"/>
  <c r="Q250" i="1"/>
  <c r="P250" i="1"/>
  <c r="O250" i="1"/>
  <c r="U249" i="1"/>
  <c r="R249" i="1"/>
  <c r="Q249" i="1"/>
  <c r="P249" i="1"/>
  <c r="O249" i="1"/>
  <c r="U248" i="1"/>
  <c r="R248" i="1"/>
  <c r="Q248" i="1"/>
  <c r="P248" i="1"/>
  <c r="O248" i="1"/>
  <c r="U247" i="1"/>
  <c r="R247" i="1"/>
  <c r="Q247" i="1"/>
  <c r="P247" i="1"/>
  <c r="O247" i="1"/>
  <c r="U246" i="1"/>
  <c r="R246" i="1"/>
  <c r="Q246" i="1"/>
  <c r="P246" i="1"/>
  <c r="O246" i="1"/>
  <c r="U245" i="1"/>
  <c r="R245" i="1"/>
  <c r="Q245" i="1"/>
  <c r="P245" i="1"/>
  <c r="O245" i="1"/>
  <c r="U244" i="1"/>
  <c r="R244" i="1"/>
  <c r="Q244" i="1"/>
  <c r="P244" i="1"/>
  <c r="O244" i="1"/>
  <c r="U243" i="1"/>
  <c r="R243" i="1"/>
  <c r="Q243" i="1"/>
  <c r="P243" i="1"/>
  <c r="O243" i="1"/>
  <c r="U242" i="1"/>
  <c r="R242" i="1"/>
  <c r="Q242" i="1"/>
  <c r="P242" i="1"/>
  <c r="O242" i="1"/>
  <c r="U241" i="1"/>
  <c r="R241" i="1"/>
  <c r="Q241" i="1"/>
  <c r="P241" i="1"/>
  <c r="O241" i="1"/>
  <c r="U240" i="1"/>
  <c r="R240" i="1"/>
  <c r="Q240" i="1"/>
  <c r="P240" i="1"/>
  <c r="O240" i="1"/>
  <c r="U239" i="1"/>
  <c r="R239" i="1"/>
  <c r="Q239" i="1"/>
  <c r="P239" i="1"/>
  <c r="O239" i="1"/>
  <c r="U238" i="1"/>
  <c r="R238" i="1"/>
  <c r="Q238" i="1"/>
  <c r="P238" i="1"/>
  <c r="O238" i="1"/>
  <c r="U237" i="1"/>
  <c r="R237" i="1"/>
  <c r="Q237" i="1"/>
  <c r="P237" i="1"/>
  <c r="O237" i="1"/>
  <c r="U236" i="1"/>
  <c r="R236" i="1"/>
  <c r="Q236" i="1"/>
  <c r="P236" i="1"/>
  <c r="O236" i="1"/>
  <c r="U235" i="1"/>
  <c r="R235" i="1"/>
  <c r="Q235" i="1"/>
  <c r="P235" i="1"/>
  <c r="O235" i="1"/>
  <c r="U234" i="1"/>
  <c r="R234" i="1"/>
  <c r="Q234" i="1"/>
  <c r="P234" i="1"/>
  <c r="O234" i="1"/>
  <c r="U233" i="1"/>
  <c r="R233" i="1"/>
  <c r="Q233" i="1"/>
  <c r="P233" i="1"/>
  <c r="O233" i="1"/>
  <c r="U232" i="1"/>
  <c r="R232" i="1"/>
  <c r="Q232" i="1"/>
  <c r="P232" i="1"/>
  <c r="O232" i="1"/>
  <c r="U231" i="1"/>
  <c r="R231" i="1"/>
  <c r="Q231" i="1"/>
  <c r="P231" i="1"/>
  <c r="O231" i="1"/>
  <c r="U230" i="1"/>
  <c r="R230" i="1"/>
  <c r="Q230" i="1"/>
  <c r="P230" i="1"/>
  <c r="O230" i="1"/>
  <c r="U229" i="1"/>
  <c r="R229" i="1"/>
  <c r="Q229" i="1"/>
  <c r="P229" i="1"/>
  <c r="O229" i="1"/>
  <c r="U228" i="1"/>
  <c r="R228" i="1"/>
  <c r="Q228" i="1"/>
  <c r="P228" i="1"/>
  <c r="O228" i="1"/>
  <c r="U227" i="1"/>
  <c r="R227" i="1"/>
  <c r="Q227" i="1"/>
  <c r="P227" i="1"/>
  <c r="O227" i="1"/>
  <c r="U226" i="1"/>
  <c r="R226" i="1"/>
  <c r="Q226" i="1"/>
  <c r="P226" i="1"/>
  <c r="O226" i="1"/>
  <c r="U225" i="1"/>
  <c r="R225" i="1"/>
  <c r="Q225" i="1"/>
  <c r="P225" i="1"/>
  <c r="O225" i="1"/>
  <c r="U224" i="1"/>
  <c r="R224" i="1"/>
  <c r="Q224" i="1"/>
  <c r="P224" i="1"/>
  <c r="O224" i="1"/>
  <c r="U223" i="1"/>
  <c r="R223" i="1"/>
  <c r="Q223" i="1"/>
  <c r="P223" i="1"/>
  <c r="O223" i="1"/>
  <c r="U222" i="1"/>
  <c r="R222" i="1"/>
  <c r="Q222" i="1"/>
  <c r="P222" i="1"/>
  <c r="O222" i="1"/>
  <c r="U221" i="1"/>
  <c r="R221" i="1"/>
  <c r="Q221" i="1"/>
  <c r="P221" i="1"/>
  <c r="O221" i="1"/>
  <c r="U220" i="1"/>
  <c r="R220" i="1"/>
  <c r="Q220" i="1"/>
  <c r="P220" i="1"/>
  <c r="O220" i="1"/>
  <c r="U219" i="1"/>
  <c r="R219" i="1"/>
  <c r="Q219" i="1"/>
  <c r="P219" i="1"/>
  <c r="O219" i="1"/>
  <c r="U218" i="1"/>
  <c r="R218" i="1"/>
  <c r="Q218" i="1"/>
  <c r="P218" i="1"/>
  <c r="O218" i="1"/>
  <c r="U217" i="1"/>
  <c r="R217" i="1"/>
  <c r="Q217" i="1"/>
  <c r="P217" i="1"/>
  <c r="O217" i="1"/>
  <c r="U216" i="1"/>
  <c r="R216" i="1"/>
  <c r="Q216" i="1"/>
  <c r="P216" i="1"/>
  <c r="O216" i="1"/>
  <c r="U215" i="1"/>
  <c r="R215" i="1"/>
  <c r="Q215" i="1"/>
  <c r="P215" i="1"/>
  <c r="O215" i="1"/>
  <c r="U214" i="1"/>
  <c r="R214" i="1"/>
  <c r="Q214" i="1"/>
  <c r="P214" i="1"/>
  <c r="O214" i="1"/>
  <c r="U213" i="1"/>
  <c r="R213" i="1"/>
  <c r="Q213" i="1"/>
  <c r="P213" i="1"/>
  <c r="O213" i="1"/>
  <c r="U212" i="1"/>
  <c r="R212" i="1"/>
  <c r="Q212" i="1"/>
  <c r="P212" i="1"/>
  <c r="O212" i="1"/>
  <c r="U211" i="1"/>
  <c r="R211" i="1"/>
  <c r="Q211" i="1"/>
  <c r="P211" i="1"/>
  <c r="O211" i="1"/>
  <c r="U210" i="1"/>
  <c r="R210" i="1"/>
  <c r="Q210" i="1"/>
  <c r="P210" i="1"/>
  <c r="O210" i="1"/>
  <c r="U209" i="1"/>
  <c r="R209" i="1"/>
  <c r="Q209" i="1"/>
  <c r="P209" i="1"/>
  <c r="O209" i="1"/>
  <c r="U208" i="1"/>
  <c r="R208" i="1"/>
  <c r="Q208" i="1"/>
  <c r="P208" i="1"/>
  <c r="O208" i="1"/>
  <c r="U207" i="1"/>
  <c r="R207" i="1"/>
  <c r="Q207" i="1"/>
  <c r="P207" i="1"/>
  <c r="O207" i="1"/>
  <c r="U206" i="1"/>
  <c r="R206" i="1"/>
  <c r="Q206" i="1"/>
  <c r="P206" i="1"/>
  <c r="O206" i="1"/>
  <c r="U205" i="1"/>
  <c r="R205" i="1"/>
  <c r="Q205" i="1"/>
  <c r="P205" i="1"/>
  <c r="O205" i="1"/>
  <c r="U204" i="1"/>
  <c r="R204" i="1"/>
  <c r="Q204" i="1"/>
  <c r="P204" i="1"/>
  <c r="O204" i="1"/>
  <c r="U203" i="1"/>
  <c r="R203" i="1"/>
  <c r="Q203" i="1"/>
  <c r="P203" i="1"/>
  <c r="O203" i="1"/>
  <c r="U202" i="1"/>
  <c r="R202" i="1"/>
  <c r="Q202" i="1"/>
  <c r="P202" i="1"/>
  <c r="O202" i="1"/>
  <c r="U201" i="1"/>
  <c r="R201" i="1"/>
  <c r="Q201" i="1"/>
  <c r="P201" i="1"/>
  <c r="O201" i="1"/>
  <c r="U200" i="1"/>
  <c r="R200" i="1"/>
  <c r="Q200" i="1"/>
  <c r="P200" i="1"/>
  <c r="O200" i="1"/>
  <c r="U199" i="1"/>
  <c r="R199" i="1"/>
  <c r="Q199" i="1"/>
  <c r="P199" i="1"/>
  <c r="O199" i="1"/>
  <c r="U198" i="1"/>
  <c r="R198" i="1"/>
  <c r="Q198" i="1"/>
  <c r="P198" i="1"/>
  <c r="O198" i="1"/>
  <c r="U197" i="1"/>
  <c r="R197" i="1"/>
  <c r="Q197" i="1"/>
  <c r="P197" i="1"/>
  <c r="O197" i="1"/>
  <c r="U196" i="1"/>
  <c r="R196" i="1"/>
  <c r="Q196" i="1"/>
  <c r="P196" i="1"/>
  <c r="O196" i="1"/>
  <c r="U195" i="1"/>
  <c r="R195" i="1"/>
  <c r="Q195" i="1"/>
  <c r="P195" i="1"/>
  <c r="O195" i="1"/>
  <c r="U194" i="1"/>
  <c r="R194" i="1"/>
  <c r="Q194" i="1"/>
  <c r="P194" i="1"/>
  <c r="O194" i="1"/>
  <c r="U193" i="1"/>
  <c r="R193" i="1"/>
  <c r="Q193" i="1"/>
  <c r="P193" i="1"/>
  <c r="O193" i="1"/>
  <c r="U192" i="1"/>
  <c r="R192" i="1"/>
  <c r="Q192" i="1"/>
  <c r="P192" i="1"/>
  <c r="O192" i="1"/>
  <c r="U191" i="1"/>
  <c r="R191" i="1"/>
  <c r="Q191" i="1"/>
  <c r="P191" i="1"/>
  <c r="O191" i="1"/>
  <c r="U190" i="1"/>
  <c r="R190" i="1"/>
  <c r="Q190" i="1"/>
  <c r="P190" i="1"/>
  <c r="O190" i="1"/>
  <c r="U189" i="1"/>
  <c r="R189" i="1"/>
  <c r="Q189" i="1"/>
  <c r="P189" i="1"/>
  <c r="O189" i="1"/>
  <c r="U188" i="1"/>
  <c r="R188" i="1"/>
  <c r="Q188" i="1"/>
  <c r="P188" i="1"/>
  <c r="O188" i="1"/>
  <c r="U187" i="1"/>
  <c r="R187" i="1"/>
  <c r="Q187" i="1"/>
  <c r="P187" i="1"/>
  <c r="O187" i="1"/>
  <c r="U186" i="1"/>
  <c r="R186" i="1"/>
  <c r="Q186" i="1"/>
  <c r="P186" i="1"/>
  <c r="O186" i="1"/>
  <c r="U185" i="1"/>
  <c r="R185" i="1"/>
  <c r="Q185" i="1"/>
  <c r="P185" i="1"/>
  <c r="O185" i="1"/>
  <c r="U184" i="1"/>
  <c r="R184" i="1"/>
  <c r="Q184" i="1"/>
  <c r="P184" i="1"/>
  <c r="O184" i="1"/>
  <c r="U183" i="1"/>
  <c r="R183" i="1"/>
  <c r="Q183" i="1"/>
  <c r="P183" i="1"/>
  <c r="O183" i="1"/>
  <c r="U182" i="1"/>
  <c r="R182" i="1"/>
  <c r="Q182" i="1"/>
  <c r="P182" i="1"/>
  <c r="O182" i="1"/>
  <c r="U181" i="1"/>
  <c r="R181" i="1"/>
  <c r="Q181" i="1"/>
  <c r="P181" i="1"/>
  <c r="O181" i="1"/>
  <c r="U180" i="1"/>
  <c r="R180" i="1"/>
  <c r="Q180" i="1"/>
  <c r="P180" i="1"/>
  <c r="O180" i="1"/>
  <c r="U179" i="1"/>
  <c r="R179" i="1"/>
  <c r="Q179" i="1"/>
  <c r="P179" i="1"/>
  <c r="O179" i="1"/>
  <c r="U178" i="1"/>
  <c r="R178" i="1"/>
  <c r="Q178" i="1"/>
  <c r="P178" i="1"/>
  <c r="O178" i="1"/>
  <c r="U177" i="1"/>
  <c r="R177" i="1"/>
  <c r="Q177" i="1"/>
  <c r="P177" i="1"/>
  <c r="O177" i="1"/>
  <c r="U176" i="1"/>
  <c r="R176" i="1"/>
  <c r="Q176" i="1"/>
  <c r="P176" i="1"/>
  <c r="O176" i="1"/>
  <c r="U175" i="1"/>
  <c r="R175" i="1"/>
  <c r="Q175" i="1"/>
  <c r="P175" i="1"/>
  <c r="O175" i="1"/>
  <c r="U174" i="1"/>
  <c r="R174" i="1"/>
  <c r="Q174" i="1"/>
  <c r="P174" i="1"/>
  <c r="O174" i="1"/>
  <c r="U173" i="1"/>
  <c r="R173" i="1"/>
  <c r="Q173" i="1"/>
  <c r="P173" i="1"/>
  <c r="O173" i="1"/>
  <c r="U172" i="1"/>
  <c r="R172" i="1"/>
  <c r="Q172" i="1"/>
  <c r="P172" i="1"/>
  <c r="O172" i="1"/>
  <c r="U171" i="1"/>
  <c r="R171" i="1"/>
  <c r="Q171" i="1"/>
  <c r="P171" i="1"/>
  <c r="O171" i="1"/>
  <c r="U170" i="1"/>
  <c r="R170" i="1"/>
  <c r="Q170" i="1"/>
  <c r="P170" i="1"/>
  <c r="O170" i="1"/>
  <c r="U169" i="1"/>
  <c r="R169" i="1"/>
  <c r="Q169" i="1"/>
  <c r="P169" i="1"/>
  <c r="O169" i="1"/>
  <c r="U168" i="1"/>
  <c r="R168" i="1"/>
  <c r="Q168" i="1"/>
  <c r="P168" i="1"/>
  <c r="O168" i="1"/>
  <c r="U167" i="1"/>
  <c r="R167" i="1"/>
  <c r="Q167" i="1"/>
  <c r="P167" i="1"/>
  <c r="O167" i="1"/>
  <c r="U166" i="1"/>
  <c r="R166" i="1"/>
  <c r="Q166" i="1"/>
  <c r="P166" i="1"/>
  <c r="O166" i="1"/>
  <c r="U165" i="1"/>
  <c r="R165" i="1"/>
  <c r="Q165" i="1"/>
  <c r="P165" i="1"/>
  <c r="O165" i="1"/>
  <c r="U164" i="1"/>
  <c r="R164" i="1"/>
  <c r="Q164" i="1"/>
  <c r="P164" i="1"/>
  <c r="O164" i="1"/>
  <c r="U163" i="1"/>
  <c r="R163" i="1"/>
  <c r="Q163" i="1"/>
  <c r="P163" i="1"/>
  <c r="O163" i="1"/>
  <c r="U162" i="1"/>
  <c r="R162" i="1"/>
  <c r="Q162" i="1"/>
  <c r="P162" i="1"/>
  <c r="O162" i="1"/>
  <c r="U161" i="1"/>
  <c r="R161" i="1"/>
  <c r="Q161" i="1"/>
  <c r="P161" i="1"/>
  <c r="O161" i="1"/>
  <c r="U160" i="1"/>
  <c r="R160" i="1"/>
  <c r="Q160" i="1"/>
  <c r="P160" i="1"/>
  <c r="O160" i="1"/>
  <c r="U159" i="1"/>
  <c r="R159" i="1"/>
  <c r="Q159" i="1"/>
  <c r="P159" i="1"/>
  <c r="O159" i="1"/>
  <c r="U158" i="1"/>
  <c r="R158" i="1"/>
  <c r="Q158" i="1"/>
  <c r="P158" i="1"/>
  <c r="O158" i="1"/>
  <c r="U157" i="1"/>
  <c r="R157" i="1"/>
  <c r="Q157" i="1"/>
  <c r="P157" i="1"/>
  <c r="O157" i="1"/>
  <c r="U156" i="1"/>
  <c r="R156" i="1"/>
  <c r="Q156" i="1"/>
  <c r="P156" i="1"/>
  <c r="O156" i="1"/>
  <c r="U155" i="1"/>
  <c r="R155" i="1"/>
  <c r="Q155" i="1"/>
  <c r="P155" i="1"/>
  <c r="O155" i="1"/>
  <c r="U154" i="1"/>
  <c r="R154" i="1"/>
  <c r="Q154" i="1"/>
  <c r="P154" i="1"/>
  <c r="O154" i="1"/>
  <c r="U153" i="1"/>
  <c r="R153" i="1"/>
  <c r="Q153" i="1"/>
  <c r="P153" i="1"/>
  <c r="O153" i="1"/>
  <c r="U152" i="1"/>
  <c r="R152" i="1"/>
  <c r="Q152" i="1"/>
  <c r="P152" i="1"/>
  <c r="O152" i="1"/>
  <c r="U151" i="1"/>
  <c r="R151" i="1"/>
  <c r="Q151" i="1"/>
  <c r="P151" i="1"/>
  <c r="O151" i="1"/>
  <c r="U150" i="1"/>
  <c r="R150" i="1"/>
  <c r="Q150" i="1"/>
  <c r="P150" i="1"/>
  <c r="O150" i="1"/>
  <c r="U149" i="1"/>
  <c r="R149" i="1"/>
  <c r="Q149" i="1"/>
  <c r="P149" i="1"/>
  <c r="O149" i="1"/>
  <c r="U148" i="1"/>
  <c r="R148" i="1"/>
  <c r="Q148" i="1"/>
  <c r="P148" i="1"/>
  <c r="O148" i="1"/>
  <c r="U147" i="1"/>
  <c r="R147" i="1"/>
  <c r="Q147" i="1"/>
  <c r="P147" i="1"/>
  <c r="O147" i="1"/>
  <c r="U146" i="1"/>
  <c r="R146" i="1"/>
  <c r="Q146" i="1"/>
  <c r="P146" i="1"/>
  <c r="O146" i="1"/>
  <c r="U145" i="1"/>
  <c r="R145" i="1"/>
  <c r="Q145" i="1"/>
  <c r="P145" i="1"/>
  <c r="O145" i="1"/>
  <c r="U144" i="1"/>
  <c r="R144" i="1"/>
  <c r="Q144" i="1"/>
  <c r="P144" i="1"/>
  <c r="O144" i="1"/>
  <c r="U143" i="1"/>
  <c r="R143" i="1"/>
  <c r="Q143" i="1"/>
  <c r="P143" i="1"/>
  <c r="O143" i="1"/>
  <c r="U142" i="1"/>
  <c r="R142" i="1"/>
  <c r="Q142" i="1"/>
  <c r="P142" i="1"/>
  <c r="O142" i="1"/>
  <c r="U141" i="1"/>
  <c r="R141" i="1"/>
  <c r="Q141" i="1"/>
  <c r="P141" i="1"/>
  <c r="O141" i="1"/>
  <c r="U140" i="1"/>
  <c r="R140" i="1"/>
  <c r="Q140" i="1"/>
  <c r="P140" i="1"/>
  <c r="O140" i="1"/>
  <c r="U139" i="1"/>
  <c r="R139" i="1"/>
  <c r="Q139" i="1"/>
  <c r="P139" i="1"/>
  <c r="O139" i="1"/>
  <c r="U138" i="1"/>
  <c r="R138" i="1"/>
  <c r="Q138" i="1"/>
  <c r="P138" i="1"/>
  <c r="O138" i="1"/>
  <c r="U137" i="1"/>
  <c r="R137" i="1"/>
  <c r="Q137" i="1"/>
  <c r="P137" i="1"/>
  <c r="O137" i="1"/>
  <c r="U136" i="1"/>
  <c r="R136" i="1"/>
  <c r="Q136" i="1"/>
  <c r="P136" i="1"/>
  <c r="O136" i="1"/>
  <c r="U135" i="1"/>
  <c r="R135" i="1"/>
  <c r="Q135" i="1"/>
  <c r="P135" i="1"/>
  <c r="O135" i="1"/>
  <c r="U134" i="1"/>
  <c r="R134" i="1"/>
  <c r="Q134" i="1"/>
  <c r="P134" i="1"/>
  <c r="O134" i="1"/>
  <c r="U133" i="1"/>
  <c r="R133" i="1"/>
  <c r="Q133" i="1"/>
  <c r="P133" i="1"/>
  <c r="O133" i="1"/>
  <c r="U132" i="1"/>
  <c r="R132" i="1"/>
  <c r="Q132" i="1"/>
  <c r="P132" i="1"/>
  <c r="O132" i="1"/>
  <c r="U131" i="1"/>
  <c r="R131" i="1"/>
  <c r="Q131" i="1"/>
  <c r="P131" i="1"/>
  <c r="O131" i="1"/>
  <c r="U130" i="1"/>
  <c r="R130" i="1"/>
  <c r="Q130" i="1"/>
  <c r="P130" i="1"/>
  <c r="O130" i="1"/>
  <c r="U129" i="1"/>
  <c r="R129" i="1"/>
  <c r="Q129" i="1"/>
  <c r="P129" i="1"/>
  <c r="O129" i="1"/>
  <c r="U128" i="1"/>
  <c r="R128" i="1"/>
  <c r="Q128" i="1"/>
  <c r="P128" i="1"/>
  <c r="O128" i="1"/>
  <c r="U127" i="1"/>
  <c r="R127" i="1"/>
  <c r="Q127" i="1"/>
  <c r="P127" i="1"/>
  <c r="O127" i="1"/>
  <c r="U126" i="1"/>
  <c r="R126" i="1"/>
  <c r="Q126" i="1"/>
  <c r="P126" i="1"/>
  <c r="O126" i="1"/>
  <c r="U125" i="1"/>
  <c r="R125" i="1"/>
  <c r="Q125" i="1"/>
  <c r="P125" i="1"/>
  <c r="O125" i="1"/>
  <c r="U124" i="1"/>
  <c r="R124" i="1"/>
  <c r="Q124" i="1"/>
  <c r="P124" i="1"/>
  <c r="O124" i="1"/>
  <c r="U123" i="1"/>
  <c r="R123" i="1"/>
  <c r="Q123" i="1"/>
  <c r="P123" i="1"/>
  <c r="O123" i="1"/>
  <c r="U122" i="1"/>
  <c r="R122" i="1"/>
  <c r="Q122" i="1"/>
  <c r="P122" i="1"/>
  <c r="O122" i="1"/>
  <c r="U121" i="1"/>
  <c r="R121" i="1"/>
  <c r="Q121" i="1"/>
  <c r="P121" i="1"/>
  <c r="O121" i="1"/>
  <c r="U120" i="1"/>
  <c r="R120" i="1"/>
  <c r="Q120" i="1"/>
  <c r="P120" i="1"/>
  <c r="O120" i="1"/>
  <c r="U119" i="1"/>
  <c r="R119" i="1"/>
  <c r="Q119" i="1"/>
  <c r="P119" i="1"/>
  <c r="O119" i="1"/>
  <c r="U118" i="1"/>
  <c r="R118" i="1"/>
  <c r="Q118" i="1"/>
  <c r="P118" i="1"/>
  <c r="O118" i="1"/>
  <c r="U117" i="1"/>
  <c r="R117" i="1"/>
  <c r="Q117" i="1"/>
  <c r="P117" i="1"/>
  <c r="O117" i="1"/>
  <c r="U116" i="1"/>
  <c r="R116" i="1"/>
  <c r="Q116" i="1"/>
  <c r="P116" i="1"/>
  <c r="O116" i="1"/>
  <c r="U115" i="1"/>
  <c r="R115" i="1"/>
  <c r="Q115" i="1"/>
  <c r="P115" i="1"/>
  <c r="O115" i="1"/>
  <c r="U114" i="1"/>
  <c r="R114" i="1"/>
  <c r="Q114" i="1"/>
  <c r="P114" i="1"/>
  <c r="O114" i="1"/>
  <c r="U113" i="1"/>
  <c r="R113" i="1"/>
  <c r="Q113" i="1"/>
  <c r="P113" i="1"/>
  <c r="O113" i="1"/>
  <c r="U112" i="1"/>
  <c r="R112" i="1"/>
  <c r="Q112" i="1"/>
  <c r="P112" i="1"/>
  <c r="O112" i="1"/>
  <c r="U111" i="1"/>
  <c r="R111" i="1"/>
  <c r="Q111" i="1"/>
  <c r="P111" i="1"/>
  <c r="O111" i="1"/>
  <c r="U110" i="1"/>
  <c r="R110" i="1"/>
  <c r="Q110" i="1"/>
  <c r="P110" i="1"/>
  <c r="O110" i="1"/>
  <c r="U109" i="1"/>
  <c r="R109" i="1"/>
  <c r="Q109" i="1"/>
  <c r="P109" i="1"/>
  <c r="O109" i="1"/>
  <c r="U108" i="1"/>
  <c r="R108" i="1"/>
  <c r="Q108" i="1"/>
  <c r="P108" i="1"/>
  <c r="O108" i="1"/>
  <c r="U107" i="1"/>
  <c r="R107" i="1"/>
  <c r="Q107" i="1"/>
  <c r="P107" i="1"/>
  <c r="O107" i="1"/>
  <c r="U106" i="1"/>
  <c r="R106" i="1"/>
  <c r="Q106" i="1"/>
  <c r="P106" i="1"/>
  <c r="O106" i="1"/>
  <c r="U105" i="1"/>
  <c r="R105" i="1"/>
  <c r="Q105" i="1"/>
  <c r="P105" i="1"/>
  <c r="O105" i="1"/>
  <c r="U104" i="1"/>
  <c r="R104" i="1"/>
  <c r="Q104" i="1"/>
  <c r="P104" i="1"/>
  <c r="O104" i="1"/>
  <c r="U103" i="1"/>
  <c r="R103" i="1"/>
  <c r="Q103" i="1"/>
  <c r="P103" i="1"/>
  <c r="O103" i="1"/>
  <c r="U102" i="1"/>
  <c r="R102" i="1"/>
  <c r="Q102" i="1"/>
  <c r="P102" i="1"/>
  <c r="O102" i="1"/>
  <c r="U101" i="1"/>
  <c r="R101" i="1"/>
  <c r="Q101" i="1"/>
  <c r="P101" i="1"/>
  <c r="O101" i="1"/>
  <c r="U100" i="1"/>
  <c r="R100" i="1"/>
  <c r="Q100" i="1"/>
  <c r="P100" i="1"/>
  <c r="O100" i="1"/>
  <c r="U99" i="1"/>
  <c r="R99" i="1"/>
  <c r="Q99" i="1"/>
  <c r="P99" i="1"/>
  <c r="O99" i="1"/>
  <c r="U98" i="1"/>
  <c r="R98" i="1"/>
  <c r="Q98" i="1"/>
  <c r="P98" i="1"/>
  <c r="O98" i="1"/>
  <c r="U97" i="1"/>
  <c r="R97" i="1"/>
  <c r="Q97" i="1"/>
  <c r="P97" i="1"/>
  <c r="O97" i="1"/>
  <c r="U96" i="1"/>
  <c r="R96" i="1"/>
  <c r="Q96" i="1"/>
  <c r="P96" i="1"/>
  <c r="O96" i="1"/>
  <c r="U95" i="1"/>
  <c r="R95" i="1"/>
  <c r="Q95" i="1"/>
  <c r="P95" i="1"/>
  <c r="O95" i="1"/>
  <c r="U94" i="1"/>
  <c r="R94" i="1"/>
  <c r="Q94" i="1"/>
  <c r="P94" i="1"/>
  <c r="O94" i="1"/>
  <c r="U93" i="1"/>
  <c r="R93" i="1"/>
  <c r="Q93" i="1"/>
  <c r="P93" i="1"/>
  <c r="O93" i="1"/>
  <c r="U92" i="1"/>
  <c r="R92" i="1"/>
  <c r="Q92" i="1"/>
  <c r="P92" i="1"/>
  <c r="O92" i="1"/>
  <c r="U91" i="1"/>
  <c r="R91" i="1"/>
  <c r="Q91" i="1"/>
  <c r="P91" i="1"/>
  <c r="O91" i="1"/>
  <c r="U90" i="1"/>
  <c r="R90" i="1"/>
  <c r="Q90" i="1"/>
  <c r="P90" i="1"/>
  <c r="O90" i="1"/>
  <c r="U89" i="1"/>
  <c r="R89" i="1"/>
  <c r="Q89" i="1"/>
  <c r="P89" i="1"/>
  <c r="O89" i="1"/>
  <c r="U88" i="1"/>
  <c r="R88" i="1"/>
  <c r="Q88" i="1"/>
  <c r="P88" i="1"/>
  <c r="O88" i="1"/>
  <c r="U87" i="1"/>
  <c r="R87" i="1"/>
  <c r="Q87" i="1"/>
  <c r="P87" i="1"/>
  <c r="O87" i="1"/>
  <c r="U86" i="1"/>
  <c r="R86" i="1"/>
  <c r="Q86" i="1"/>
  <c r="P86" i="1"/>
  <c r="O86" i="1"/>
  <c r="U85" i="1"/>
  <c r="R85" i="1"/>
  <c r="Q85" i="1"/>
  <c r="P85" i="1"/>
  <c r="O85" i="1"/>
  <c r="U84" i="1"/>
  <c r="R84" i="1"/>
  <c r="Q84" i="1"/>
  <c r="P84" i="1"/>
  <c r="O84" i="1"/>
  <c r="U83" i="1"/>
  <c r="R83" i="1"/>
  <c r="Q83" i="1"/>
  <c r="P83" i="1"/>
  <c r="O83" i="1"/>
  <c r="U82" i="1"/>
  <c r="R82" i="1"/>
  <c r="Q82" i="1"/>
  <c r="P82" i="1"/>
  <c r="O82" i="1"/>
  <c r="U81" i="1"/>
  <c r="R81" i="1"/>
  <c r="Q81" i="1"/>
  <c r="P81" i="1"/>
  <c r="O81" i="1"/>
  <c r="U80" i="1"/>
  <c r="R80" i="1"/>
  <c r="Q80" i="1"/>
  <c r="P80" i="1"/>
  <c r="O80" i="1"/>
  <c r="U79" i="1"/>
  <c r="R79" i="1"/>
  <c r="Q79" i="1"/>
  <c r="P79" i="1"/>
  <c r="O79" i="1"/>
  <c r="U78" i="1"/>
  <c r="R78" i="1"/>
  <c r="Q78" i="1"/>
  <c r="P78" i="1"/>
  <c r="O78" i="1"/>
  <c r="U77" i="1"/>
  <c r="R77" i="1"/>
  <c r="Q77" i="1"/>
  <c r="P77" i="1"/>
  <c r="O77" i="1"/>
  <c r="U76" i="1"/>
  <c r="R76" i="1"/>
  <c r="Q76" i="1"/>
  <c r="P76" i="1"/>
  <c r="O76" i="1"/>
  <c r="U75" i="1"/>
  <c r="R75" i="1"/>
  <c r="Q75" i="1"/>
  <c r="P75" i="1"/>
  <c r="O75" i="1"/>
  <c r="U74" i="1"/>
  <c r="R74" i="1"/>
  <c r="Q74" i="1"/>
  <c r="P74" i="1"/>
  <c r="O74" i="1"/>
  <c r="U73" i="1"/>
  <c r="R73" i="1"/>
  <c r="Q73" i="1"/>
  <c r="P73" i="1"/>
  <c r="O73" i="1"/>
  <c r="U72" i="1"/>
  <c r="R72" i="1"/>
  <c r="Q72" i="1"/>
  <c r="P72" i="1"/>
  <c r="O72" i="1"/>
  <c r="U71" i="1"/>
  <c r="R71" i="1"/>
  <c r="Q71" i="1"/>
  <c r="P71" i="1"/>
  <c r="O71" i="1"/>
  <c r="U70" i="1"/>
  <c r="R70" i="1"/>
  <c r="Q70" i="1"/>
  <c r="P70" i="1"/>
  <c r="O70" i="1"/>
  <c r="U69" i="1"/>
  <c r="R69" i="1"/>
  <c r="Q69" i="1"/>
  <c r="P69" i="1"/>
  <c r="O69" i="1"/>
  <c r="U68" i="1"/>
  <c r="R68" i="1"/>
  <c r="Q68" i="1"/>
  <c r="P68" i="1"/>
  <c r="O68" i="1"/>
  <c r="U67" i="1"/>
  <c r="R67" i="1"/>
  <c r="Q67" i="1"/>
  <c r="P67" i="1"/>
  <c r="O67" i="1"/>
  <c r="U66" i="1"/>
  <c r="R66" i="1"/>
  <c r="Q66" i="1"/>
  <c r="P66" i="1"/>
  <c r="O66" i="1"/>
  <c r="U65" i="1"/>
  <c r="R65" i="1"/>
  <c r="Q65" i="1"/>
  <c r="P65" i="1"/>
  <c r="O65" i="1"/>
  <c r="U64" i="1"/>
  <c r="R64" i="1"/>
  <c r="Q64" i="1"/>
  <c r="P64" i="1"/>
  <c r="O64" i="1"/>
  <c r="U63" i="1"/>
  <c r="R63" i="1"/>
  <c r="Q63" i="1"/>
  <c r="P63" i="1"/>
  <c r="O63" i="1"/>
  <c r="U62" i="1"/>
  <c r="R62" i="1"/>
  <c r="Q62" i="1"/>
  <c r="P62" i="1"/>
  <c r="O62" i="1"/>
  <c r="U61" i="1"/>
  <c r="R61" i="1"/>
  <c r="Q61" i="1"/>
  <c r="P61" i="1"/>
  <c r="O61" i="1"/>
  <c r="U60" i="1"/>
  <c r="R60" i="1"/>
  <c r="Q60" i="1"/>
  <c r="P60" i="1"/>
  <c r="O60" i="1"/>
  <c r="U59" i="1"/>
  <c r="R59" i="1"/>
  <c r="Q59" i="1"/>
  <c r="P59" i="1"/>
  <c r="O59" i="1"/>
  <c r="U58" i="1"/>
  <c r="R58" i="1"/>
  <c r="Q58" i="1"/>
  <c r="P58" i="1"/>
  <c r="O58" i="1"/>
  <c r="U57" i="1"/>
  <c r="R57" i="1"/>
  <c r="Q57" i="1"/>
  <c r="P57" i="1"/>
  <c r="O57" i="1"/>
  <c r="U56" i="1"/>
  <c r="R56" i="1"/>
  <c r="Q56" i="1"/>
  <c r="P56" i="1"/>
  <c r="O56" i="1"/>
  <c r="U55" i="1"/>
  <c r="R55" i="1"/>
  <c r="Q55" i="1"/>
  <c r="P55" i="1"/>
  <c r="O55" i="1"/>
  <c r="U54" i="1"/>
  <c r="R54" i="1"/>
  <c r="Q54" i="1"/>
  <c r="P54" i="1"/>
  <c r="O54" i="1"/>
  <c r="U53" i="1"/>
  <c r="R53" i="1"/>
  <c r="Q53" i="1"/>
  <c r="P53" i="1"/>
  <c r="O53" i="1"/>
  <c r="U52" i="1"/>
  <c r="R52" i="1"/>
  <c r="Q52" i="1"/>
  <c r="P52" i="1"/>
  <c r="O52" i="1"/>
  <c r="U51" i="1"/>
  <c r="R51" i="1"/>
  <c r="Q51" i="1"/>
  <c r="P51" i="1"/>
  <c r="O51" i="1"/>
  <c r="U50" i="1"/>
  <c r="R50" i="1"/>
  <c r="Q50" i="1"/>
  <c r="P50" i="1"/>
  <c r="O50" i="1"/>
  <c r="U49" i="1"/>
  <c r="R49" i="1"/>
  <c r="Q49" i="1"/>
  <c r="P49" i="1"/>
  <c r="O49" i="1"/>
  <c r="U48" i="1"/>
  <c r="R48" i="1"/>
  <c r="Q48" i="1"/>
  <c r="P48" i="1"/>
  <c r="O48" i="1"/>
  <c r="U47" i="1"/>
  <c r="R47" i="1"/>
  <c r="Q47" i="1"/>
  <c r="P47" i="1"/>
  <c r="O47" i="1"/>
  <c r="U46" i="1"/>
  <c r="R46" i="1"/>
  <c r="Q46" i="1"/>
  <c r="P46" i="1"/>
  <c r="O46" i="1"/>
  <c r="U45" i="1"/>
  <c r="R45" i="1"/>
  <c r="Q45" i="1"/>
  <c r="P45" i="1"/>
  <c r="O45" i="1"/>
  <c r="U44" i="1"/>
  <c r="R44" i="1"/>
  <c r="Q44" i="1"/>
  <c r="P44" i="1"/>
  <c r="O44" i="1"/>
  <c r="U43" i="1"/>
  <c r="R43" i="1"/>
  <c r="Q43" i="1"/>
  <c r="P43" i="1"/>
  <c r="O43" i="1"/>
  <c r="U42" i="1"/>
  <c r="R42" i="1"/>
  <c r="Q42" i="1"/>
  <c r="P42" i="1"/>
  <c r="O42" i="1"/>
  <c r="U41" i="1"/>
  <c r="R41" i="1"/>
  <c r="Q41" i="1"/>
  <c r="P41" i="1"/>
  <c r="O41" i="1"/>
  <c r="U40" i="1"/>
  <c r="R40" i="1"/>
  <c r="Q40" i="1"/>
  <c r="P40" i="1"/>
  <c r="O40" i="1"/>
  <c r="U39" i="1"/>
  <c r="R39" i="1"/>
  <c r="Q39" i="1"/>
  <c r="P39" i="1"/>
  <c r="O39" i="1"/>
  <c r="U38" i="1"/>
  <c r="R38" i="1"/>
  <c r="Q38" i="1"/>
  <c r="P38" i="1"/>
  <c r="O38" i="1"/>
  <c r="U37" i="1"/>
  <c r="R37" i="1"/>
  <c r="Q37" i="1"/>
  <c r="P37" i="1"/>
  <c r="O37" i="1"/>
  <c r="U36" i="1"/>
  <c r="R36" i="1"/>
  <c r="Q36" i="1"/>
  <c r="P36" i="1"/>
  <c r="O36" i="1"/>
  <c r="U35" i="1"/>
  <c r="R35" i="1"/>
  <c r="Q35" i="1"/>
  <c r="P35" i="1"/>
  <c r="O35" i="1"/>
  <c r="U34" i="1"/>
  <c r="R34" i="1"/>
  <c r="Q34" i="1"/>
  <c r="P34" i="1"/>
  <c r="O34" i="1"/>
  <c r="U33" i="1"/>
  <c r="R33" i="1"/>
  <c r="Q33" i="1"/>
  <c r="P33" i="1"/>
  <c r="O33" i="1"/>
  <c r="U32" i="1"/>
  <c r="R32" i="1"/>
  <c r="Q32" i="1"/>
  <c r="P32" i="1"/>
  <c r="O32" i="1"/>
  <c r="U31" i="1"/>
  <c r="R31" i="1"/>
  <c r="Q31" i="1"/>
  <c r="P31" i="1"/>
  <c r="O31" i="1"/>
  <c r="U30" i="1"/>
  <c r="R30" i="1"/>
  <c r="Q30" i="1"/>
  <c r="P30" i="1"/>
  <c r="O30" i="1"/>
  <c r="U29" i="1"/>
  <c r="R29" i="1"/>
  <c r="Q29" i="1"/>
  <c r="P29" i="1"/>
  <c r="O29" i="1"/>
  <c r="U28" i="1"/>
  <c r="R28" i="1"/>
  <c r="Q28" i="1"/>
  <c r="P28" i="1"/>
  <c r="O28" i="1"/>
  <c r="U27" i="1"/>
  <c r="R27" i="1"/>
  <c r="Q27" i="1"/>
  <c r="P27" i="1"/>
  <c r="O27" i="1"/>
  <c r="U26" i="1"/>
  <c r="R26" i="1"/>
  <c r="Q26" i="1"/>
  <c r="P26" i="1"/>
  <c r="O26" i="1"/>
  <c r="U25" i="1"/>
  <c r="R25" i="1"/>
  <c r="Q25" i="1"/>
  <c r="P25" i="1"/>
  <c r="O25" i="1"/>
  <c r="U24" i="1"/>
  <c r="R24" i="1"/>
  <c r="Q24" i="1"/>
  <c r="P24" i="1"/>
  <c r="O24" i="1"/>
  <c r="U23" i="1"/>
  <c r="R23" i="1"/>
  <c r="Q23" i="1"/>
  <c r="P23" i="1"/>
  <c r="O23" i="1"/>
  <c r="U22" i="1"/>
  <c r="R22" i="1"/>
  <c r="Q22" i="1"/>
  <c r="P22" i="1"/>
  <c r="O22" i="1"/>
  <c r="U21" i="1"/>
  <c r="R21" i="1"/>
  <c r="Q21" i="1"/>
  <c r="P21" i="1"/>
  <c r="O21" i="1"/>
  <c r="U20" i="1"/>
  <c r="R20" i="1"/>
  <c r="Q20" i="1"/>
  <c r="P20" i="1"/>
  <c r="O20" i="1"/>
  <c r="U19" i="1"/>
  <c r="R19" i="1"/>
  <c r="Q19" i="1"/>
  <c r="P19" i="1"/>
  <c r="O19" i="1"/>
  <c r="U18" i="1"/>
  <c r="R18" i="1"/>
  <c r="Q18" i="1"/>
  <c r="P18" i="1"/>
  <c r="O18" i="1"/>
  <c r="U17" i="1"/>
  <c r="R17" i="1"/>
  <c r="Q17" i="1"/>
  <c r="P17" i="1"/>
  <c r="O17" i="1"/>
  <c r="U16" i="1"/>
  <c r="R16" i="1"/>
  <c r="Q16" i="1"/>
  <c r="P16" i="1"/>
  <c r="O16" i="1"/>
  <c r="U15" i="1"/>
  <c r="R15" i="1"/>
  <c r="Q15" i="1"/>
  <c r="P15" i="1"/>
  <c r="O15" i="1"/>
  <c r="U14" i="1"/>
  <c r="R14" i="1"/>
  <c r="Q14" i="1"/>
  <c r="P14" i="1"/>
  <c r="O14" i="1"/>
  <c r="U13" i="1"/>
  <c r="R13" i="1"/>
  <c r="Q13" i="1"/>
  <c r="P13" i="1"/>
  <c r="O13" i="1"/>
  <c r="U12" i="1"/>
  <c r="R12" i="1"/>
  <c r="Q12" i="1"/>
  <c r="P12" i="1"/>
  <c r="O12" i="1"/>
  <c r="U11" i="1"/>
  <c r="R11" i="1"/>
  <c r="Q11" i="1"/>
  <c r="P11" i="1"/>
  <c r="O11" i="1"/>
  <c r="U10" i="1"/>
  <c r="R10" i="1"/>
  <c r="Q10" i="1"/>
  <c r="P10" i="1"/>
  <c r="O10" i="1"/>
  <c r="U9" i="1"/>
  <c r="R9" i="1"/>
  <c r="Q9" i="1"/>
  <c r="P9" i="1"/>
  <c r="O9" i="1"/>
  <c r="U8" i="1"/>
  <c r="R8" i="1"/>
  <c r="Q8" i="1"/>
  <c r="P8" i="1"/>
  <c r="O8" i="1"/>
  <c r="U7" i="1"/>
  <c r="R7" i="1"/>
  <c r="Q7" i="1"/>
  <c r="P7" i="1"/>
  <c r="O7" i="1"/>
  <c r="U6" i="1"/>
  <c r="R6" i="1"/>
  <c r="Q6" i="1"/>
  <c r="P6" i="1"/>
  <c r="O6" i="1"/>
  <c r="U5" i="1"/>
  <c r="R5" i="1"/>
  <c r="Q5" i="1"/>
  <c r="P5" i="1"/>
  <c r="O5" i="1"/>
  <c r="U4" i="1"/>
  <c r="R4" i="1"/>
  <c r="Q4" i="1"/>
  <c r="P4" i="1"/>
  <c r="O4" i="1"/>
  <c r="U3" i="1"/>
  <c r="R3" i="1"/>
  <c r="Q3" i="1"/>
  <c r="P3" i="1"/>
  <c r="O3" i="1"/>
  <c r="U2" i="1"/>
  <c r="T2" i="1"/>
  <c r="S162" i="1" s="1"/>
  <c r="R2" i="1"/>
  <c r="Q2" i="1"/>
  <c r="P2" i="1"/>
  <c r="O2" i="1"/>
  <c r="S8" i="1" l="1"/>
  <c r="S24" i="1"/>
  <c r="S40" i="1"/>
  <c r="S52" i="1"/>
  <c r="S60" i="1"/>
  <c r="S68" i="1"/>
  <c r="S76" i="1"/>
  <c r="S84" i="1"/>
  <c r="S92" i="1"/>
  <c r="S100" i="1"/>
  <c r="S108" i="1"/>
  <c r="S116" i="1"/>
  <c r="S124" i="1"/>
  <c r="S132" i="1"/>
  <c r="S140" i="1"/>
  <c r="S144" i="1"/>
  <c r="S148" i="1"/>
  <c r="S152" i="1"/>
  <c r="S156" i="1"/>
  <c r="S160" i="1"/>
  <c r="S164" i="1"/>
  <c r="S16" i="1"/>
  <c r="S32" i="1"/>
  <c r="S48" i="1"/>
  <c r="S56" i="1"/>
  <c r="S64" i="1"/>
  <c r="S72" i="1"/>
  <c r="S80" i="1"/>
  <c r="S88" i="1"/>
  <c r="S96" i="1"/>
  <c r="S104" i="1"/>
  <c r="S112" i="1"/>
  <c r="S120" i="1"/>
  <c r="S128" i="1"/>
  <c r="S136" i="1"/>
  <c r="S4" i="1"/>
  <c r="S20" i="1"/>
  <c r="S36" i="1"/>
  <c r="S7" i="1"/>
  <c r="S15" i="1"/>
  <c r="S23" i="1"/>
  <c r="S31" i="1"/>
  <c r="S39" i="1"/>
  <c r="S47" i="1"/>
  <c r="S55" i="1"/>
  <c r="S63" i="1"/>
  <c r="S71" i="1"/>
  <c r="S79" i="1"/>
  <c r="S87" i="1"/>
  <c r="S91" i="1"/>
  <c r="S95" i="1"/>
  <c r="S99" i="1"/>
  <c r="S103" i="1"/>
  <c r="S107" i="1"/>
  <c r="S111" i="1"/>
  <c r="S115" i="1"/>
  <c r="S119" i="1"/>
  <c r="S123" i="1"/>
  <c r="S127" i="1"/>
  <c r="S131" i="1"/>
  <c r="S135" i="1"/>
  <c r="S139" i="1"/>
  <c r="S143" i="1"/>
  <c r="S147" i="1"/>
  <c r="S151" i="1"/>
  <c r="S155" i="1"/>
  <c r="S159" i="1"/>
  <c r="S163" i="1"/>
  <c r="S12" i="1"/>
  <c r="S28" i="1"/>
  <c r="S44" i="1"/>
  <c r="S3" i="1"/>
  <c r="S11" i="1"/>
  <c r="S19" i="1"/>
  <c r="S27" i="1"/>
  <c r="S35" i="1"/>
  <c r="S43" i="1"/>
  <c r="S51" i="1"/>
  <c r="S59" i="1"/>
  <c r="S67" i="1"/>
  <c r="S75" i="1"/>
  <c r="S83" i="1"/>
  <c r="S2" i="1"/>
  <c r="S6" i="1"/>
  <c r="S22" i="1"/>
  <c r="S38" i="1"/>
  <c r="S46" i="1"/>
  <c r="S54" i="1"/>
  <c r="S62" i="1"/>
  <c r="S70" i="1"/>
  <c r="S78" i="1"/>
  <c r="S86" i="1"/>
  <c r="S94" i="1"/>
  <c r="S102" i="1"/>
  <c r="S110" i="1"/>
  <c r="S118" i="1"/>
  <c r="S130" i="1"/>
  <c r="S134" i="1"/>
  <c r="S138" i="1"/>
  <c r="S146" i="1"/>
  <c r="S150" i="1"/>
  <c r="S154" i="1"/>
  <c r="S158" i="1"/>
  <c r="S501" i="1"/>
  <c r="S497" i="1"/>
  <c r="S493" i="1"/>
  <c r="S489" i="1"/>
  <c r="S485" i="1"/>
  <c r="S481" i="1"/>
  <c r="S477" i="1"/>
  <c r="S473" i="1"/>
  <c r="S469" i="1"/>
  <c r="S465" i="1"/>
  <c r="S461" i="1"/>
  <c r="S457" i="1"/>
  <c r="S453" i="1"/>
  <c r="S449" i="1"/>
  <c r="S445" i="1"/>
  <c r="S441" i="1"/>
  <c r="S437" i="1"/>
  <c r="S433" i="1"/>
  <c r="S429" i="1"/>
  <c r="S425" i="1"/>
  <c r="S421" i="1"/>
  <c r="S417" i="1"/>
  <c r="S413" i="1"/>
  <c r="S409" i="1"/>
  <c r="S405" i="1"/>
  <c r="S401" i="1"/>
  <c r="S397" i="1"/>
  <c r="S393" i="1"/>
  <c r="S389" i="1"/>
  <c r="S385" i="1"/>
  <c r="S381" i="1"/>
  <c r="S377" i="1"/>
  <c r="S373" i="1"/>
  <c r="S369" i="1"/>
  <c r="S365" i="1"/>
  <c r="S361" i="1"/>
  <c r="S357" i="1"/>
  <c r="S353" i="1"/>
  <c r="S349" i="1"/>
  <c r="S345" i="1"/>
  <c r="S341" i="1"/>
  <c r="S337" i="1"/>
  <c r="S333" i="1"/>
  <c r="S329" i="1"/>
  <c r="S325" i="1"/>
  <c r="S321" i="1"/>
  <c r="S317" i="1"/>
  <c r="S313" i="1"/>
  <c r="S309" i="1"/>
  <c r="S305" i="1"/>
  <c r="S301" i="1"/>
  <c r="S297" i="1"/>
  <c r="S293" i="1"/>
  <c r="S289" i="1"/>
  <c r="S285" i="1"/>
  <c r="S281" i="1"/>
  <c r="S277" i="1"/>
  <c r="S273" i="1"/>
  <c r="S269" i="1"/>
  <c r="S265" i="1"/>
  <c r="S261" i="1"/>
  <c r="S257" i="1"/>
  <c r="S253" i="1"/>
  <c r="S249" i="1"/>
  <c r="S245" i="1"/>
  <c r="S241" i="1"/>
  <c r="S237" i="1"/>
  <c r="S233" i="1"/>
  <c r="S229" i="1"/>
  <c r="S225" i="1"/>
  <c r="S221" i="1"/>
  <c r="S217" i="1"/>
  <c r="S213" i="1"/>
  <c r="S209" i="1"/>
  <c r="S205" i="1"/>
  <c r="S201" i="1"/>
  <c r="S197" i="1"/>
  <c r="S193" i="1"/>
  <c r="S189" i="1"/>
  <c r="S185" i="1"/>
  <c r="S181" i="1"/>
  <c r="S177" i="1"/>
  <c r="S173" i="1"/>
  <c r="S169" i="1"/>
  <c r="S165" i="1"/>
  <c r="S498" i="1"/>
  <c r="S494" i="1"/>
  <c r="S490" i="1"/>
  <c r="S486" i="1"/>
  <c r="S482" i="1"/>
  <c r="S478" i="1"/>
  <c r="S474" i="1"/>
  <c r="S470" i="1"/>
  <c r="S466" i="1"/>
  <c r="S462" i="1"/>
  <c r="S458" i="1"/>
  <c r="S454" i="1"/>
  <c r="S450" i="1"/>
  <c r="S446" i="1"/>
  <c r="S442" i="1"/>
  <c r="S438" i="1"/>
  <c r="S434" i="1"/>
  <c r="S430" i="1"/>
  <c r="S426" i="1"/>
  <c r="S422" i="1"/>
  <c r="S418" i="1"/>
  <c r="S414" i="1"/>
  <c r="S410" i="1"/>
  <c r="S406" i="1"/>
  <c r="S402" i="1"/>
  <c r="S398" i="1"/>
  <c r="S394" i="1"/>
  <c r="S390" i="1"/>
  <c r="S386" i="1"/>
  <c r="S382" i="1"/>
  <c r="S378" i="1"/>
  <c r="S374" i="1"/>
  <c r="S370" i="1"/>
  <c r="S366" i="1"/>
  <c r="S362" i="1"/>
  <c r="S358" i="1"/>
  <c r="S354" i="1"/>
  <c r="S350" i="1"/>
  <c r="S346" i="1"/>
  <c r="S342" i="1"/>
  <c r="S338" i="1"/>
  <c r="S334" i="1"/>
  <c r="S330" i="1"/>
  <c r="S326" i="1"/>
  <c r="S322" i="1"/>
  <c r="S318" i="1"/>
  <c r="S314" i="1"/>
  <c r="S310" i="1"/>
  <c r="S306" i="1"/>
  <c r="S302" i="1"/>
  <c r="S298" i="1"/>
  <c r="S294" i="1"/>
  <c r="S290" i="1"/>
  <c r="S286" i="1"/>
  <c r="S282" i="1"/>
  <c r="S278" i="1"/>
  <c r="S274" i="1"/>
  <c r="S270" i="1"/>
  <c r="S266" i="1"/>
  <c r="S262" i="1"/>
  <c r="S258" i="1"/>
  <c r="S254" i="1"/>
  <c r="S250" i="1"/>
  <c r="S246" i="1"/>
  <c r="S242" i="1"/>
  <c r="S238" i="1"/>
  <c r="S234" i="1"/>
  <c r="S230" i="1"/>
  <c r="S226" i="1"/>
  <c r="S222" i="1"/>
  <c r="S218" i="1"/>
  <c r="S214" i="1"/>
  <c r="S210" i="1"/>
  <c r="S206" i="1"/>
  <c r="S202" i="1"/>
  <c r="S198" i="1"/>
  <c r="S194" i="1"/>
  <c r="S190" i="1"/>
  <c r="S186" i="1"/>
  <c r="S182" i="1"/>
  <c r="S178" i="1"/>
  <c r="S174" i="1"/>
  <c r="S170" i="1"/>
  <c r="S166" i="1"/>
  <c r="S499" i="1"/>
  <c r="S495" i="1"/>
  <c r="S491" i="1"/>
  <c r="S487" i="1"/>
  <c r="S483" i="1"/>
  <c r="S479" i="1"/>
  <c r="S475" i="1"/>
  <c r="S471" i="1"/>
  <c r="S467" i="1"/>
  <c r="S463" i="1"/>
  <c r="S459" i="1"/>
  <c r="S455" i="1"/>
  <c r="S451" i="1"/>
  <c r="S447" i="1"/>
  <c r="S443" i="1"/>
  <c r="S439" i="1"/>
  <c r="S435" i="1"/>
  <c r="S431" i="1"/>
  <c r="S427" i="1"/>
  <c r="S423" i="1"/>
  <c r="S419" i="1"/>
  <c r="S415" i="1"/>
  <c r="S411" i="1"/>
  <c r="S407" i="1"/>
  <c r="S403" i="1"/>
  <c r="S399" i="1"/>
  <c r="S395" i="1"/>
  <c r="S391" i="1"/>
  <c r="S387" i="1"/>
  <c r="S383" i="1"/>
  <c r="S379" i="1"/>
  <c r="S375" i="1"/>
  <c r="S371" i="1"/>
  <c r="S367" i="1"/>
  <c r="S363" i="1"/>
  <c r="S359" i="1"/>
  <c r="S355" i="1"/>
  <c r="S351" i="1"/>
  <c r="S347" i="1"/>
  <c r="S343" i="1"/>
  <c r="S339" i="1"/>
  <c r="S335" i="1"/>
  <c r="S331" i="1"/>
  <c r="S327" i="1"/>
  <c r="S323" i="1"/>
  <c r="S319" i="1"/>
  <c r="S315" i="1"/>
  <c r="S311" i="1"/>
  <c r="S307" i="1"/>
  <c r="S303" i="1"/>
  <c r="S299" i="1"/>
  <c r="S295" i="1"/>
  <c r="S291" i="1"/>
  <c r="S287" i="1"/>
  <c r="S283" i="1"/>
  <c r="S279" i="1"/>
  <c r="S275" i="1"/>
  <c r="S271" i="1"/>
  <c r="S267" i="1"/>
  <c r="S263" i="1"/>
  <c r="S259" i="1"/>
  <c r="S255" i="1"/>
  <c r="S251" i="1"/>
  <c r="S247" i="1"/>
  <c r="S243" i="1"/>
  <c r="S239" i="1"/>
  <c r="S235" i="1"/>
  <c r="S231" i="1"/>
  <c r="S227" i="1"/>
  <c r="S223" i="1"/>
  <c r="S219" i="1"/>
  <c r="S215" i="1"/>
  <c r="S211" i="1"/>
  <c r="S207" i="1"/>
  <c r="S203" i="1"/>
  <c r="S199" i="1"/>
  <c r="S195" i="1"/>
  <c r="S191" i="1"/>
  <c r="S187" i="1"/>
  <c r="S183" i="1"/>
  <c r="S179" i="1"/>
  <c r="S175" i="1"/>
  <c r="S171" i="1"/>
  <c r="S167" i="1"/>
  <c r="S500" i="1"/>
  <c r="S496" i="1"/>
  <c r="S492" i="1"/>
  <c r="S488" i="1"/>
  <c r="S484" i="1"/>
  <c r="S480" i="1"/>
  <c r="S476" i="1"/>
  <c r="S472" i="1"/>
  <c r="S468" i="1"/>
  <c r="S464" i="1"/>
  <c r="S460" i="1"/>
  <c r="S456" i="1"/>
  <c r="S452" i="1"/>
  <c r="S448" i="1"/>
  <c r="S444" i="1"/>
  <c r="S440" i="1"/>
  <c r="S436" i="1"/>
  <c r="S432" i="1"/>
  <c r="S428" i="1"/>
  <c r="S424" i="1"/>
  <c r="S420" i="1"/>
  <c r="S416" i="1"/>
  <c r="S412" i="1"/>
  <c r="S408" i="1"/>
  <c r="S404" i="1"/>
  <c r="S400" i="1"/>
  <c r="S396" i="1"/>
  <c r="S392" i="1"/>
  <c r="S388" i="1"/>
  <c r="S384" i="1"/>
  <c r="S380" i="1"/>
  <c r="S376" i="1"/>
  <c r="S372" i="1"/>
  <c r="S368" i="1"/>
  <c r="S364" i="1"/>
  <c r="S360" i="1"/>
  <c r="S356" i="1"/>
  <c r="S352" i="1"/>
  <c r="S348" i="1"/>
  <c r="S344" i="1"/>
  <c r="S340" i="1"/>
  <c r="S336" i="1"/>
  <c r="S332" i="1"/>
  <c r="S328" i="1"/>
  <c r="S324" i="1"/>
  <c r="S320" i="1"/>
  <c r="S316" i="1"/>
  <c r="S312" i="1"/>
  <c r="S308" i="1"/>
  <c r="S304" i="1"/>
  <c r="S300" i="1"/>
  <c r="S296" i="1"/>
  <c r="S292" i="1"/>
  <c r="S288" i="1"/>
  <c r="S284" i="1"/>
  <c r="S280" i="1"/>
  <c r="S276" i="1"/>
  <c r="S272" i="1"/>
  <c r="S268" i="1"/>
  <c r="S264" i="1"/>
  <c r="S260" i="1"/>
  <c r="S256" i="1"/>
  <c r="S252" i="1"/>
  <c r="S248" i="1"/>
  <c r="S244" i="1"/>
  <c r="S240" i="1"/>
  <c r="S236" i="1"/>
  <c r="S232" i="1"/>
  <c r="S228" i="1"/>
  <c r="S224" i="1"/>
  <c r="S220" i="1"/>
  <c r="S216" i="1"/>
  <c r="S212" i="1"/>
  <c r="S208" i="1"/>
  <c r="S204" i="1"/>
  <c r="S200" i="1"/>
  <c r="S196" i="1"/>
  <c r="S192" i="1"/>
  <c r="S188" i="1"/>
  <c r="S184" i="1"/>
  <c r="S180" i="1"/>
  <c r="S176" i="1"/>
  <c r="S172" i="1"/>
  <c r="S14" i="1"/>
  <c r="S18" i="1"/>
  <c r="S34" i="1"/>
  <c r="S42" i="1"/>
  <c r="S50" i="1"/>
  <c r="S58" i="1"/>
  <c r="S66" i="1"/>
  <c r="S74" i="1"/>
  <c r="S82" i="1"/>
  <c r="S90" i="1"/>
  <c r="S98" i="1"/>
  <c r="S106" i="1"/>
  <c r="S114" i="1"/>
  <c r="S122" i="1"/>
  <c r="S126" i="1"/>
  <c r="S142" i="1"/>
  <c r="S168" i="1"/>
  <c r="S10" i="1"/>
  <c r="S26" i="1"/>
  <c r="S5" i="1"/>
  <c r="S13" i="1"/>
  <c r="S21" i="1"/>
  <c r="S29" i="1"/>
  <c r="S37" i="1"/>
  <c r="S45" i="1"/>
  <c r="S53" i="1"/>
  <c r="S61" i="1"/>
  <c r="S69" i="1"/>
  <c r="S77" i="1"/>
  <c r="S85" i="1"/>
  <c r="S93" i="1"/>
  <c r="S101" i="1"/>
  <c r="S105" i="1"/>
  <c r="S109" i="1"/>
  <c r="S113" i="1"/>
  <c r="S117" i="1"/>
  <c r="S121" i="1"/>
  <c r="S125" i="1"/>
  <c r="S129" i="1"/>
  <c r="S133" i="1"/>
  <c r="S137" i="1"/>
  <c r="S141" i="1"/>
  <c r="S145" i="1"/>
  <c r="S149" i="1"/>
  <c r="S153" i="1"/>
  <c r="S157" i="1"/>
  <c r="S161" i="1"/>
  <c r="S30" i="1"/>
  <c r="S9" i="1"/>
  <c r="S17" i="1"/>
  <c r="S25" i="1"/>
  <c r="S33" i="1"/>
  <c r="S41" i="1"/>
  <c r="S49" i="1"/>
  <c r="S57" i="1"/>
  <c r="S65" i="1"/>
  <c r="S73" i="1"/>
  <c r="S81" i="1"/>
  <c r="S89" i="1"/>
  <c r="S97" i="1"/>
</calcChain>
</file>

<file path=xl/sharedStrings.xml><?xml version="1.0" encoding="utf-8"?>
<sst xmlns="http://schemas.openxmlformats.org/spreadsheetml/2006/main" count="5215" uniqueCount="1554">
  <si>
    <t>Session ID</t>
  </si>
  <si>
    <t>Player ID</t>
  </si>
  <si>
    <t>Player Name</t>
  </si>
  <si>
    <t>Game Name</t>
  </si>
  <si>
    <t>Platform</t>
  </si>
  <si>
    <t>Region</t>
  </si>
  <si>
    <t>Session Date</t>
  </si>
  <si>
    <t>Session Duration (min)</t>
  </si>
  <si>
    <t>In-Game Purchase ($)</t>
  </si>
  <si>
    <t>Purchase Type</t>
  </si>
  <si>
    <t>Session Status</t>
  </si>
  <si>
    <t>Player Type</t>
  </si>
  <si>
    <t>Level Reached</t>
  </si>
  <si>
    <t>Is Suspicious</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</si>
  <si>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</si>
  <si>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</si>
  <si>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</si>
  <si>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</si>
  <si>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</si>
  <si>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</si>
  <si>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</si>
  <si>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</si>
  <si>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</si>
  <si>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</si>
  <si>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</si>
  <si>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</si>
  <si>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</si>
  <si>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</si>
  <si>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</si>
  <si>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</si>
  <si>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</si>
  <si>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</si>
  <si>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</si>
  <si>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</si>
  <si>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</si>
  <si>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</si>
  <si>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</si>
  <si>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</si>
  <si>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</si>
  <si>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</si>
  <si>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</si>
  <si>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</si>
  <si>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</si>
  <si>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</si>
  <si>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</si>
  <si>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</si>
  <si>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</si>
  <si>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</si>
  <si>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</si>
  <si>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</si>
  <si>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</si>
  <si>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</si>
  <si>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</si>
  <si>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</si>
  <si>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</si>
  <si>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</si>
  <si>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</si>
  <si>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</si>
  <si>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</si>
  <si>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</si>
  <si>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</si>
  <si>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</si>
  <si>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</si>
  <si>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</si>
  <si>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</si>
  <si>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</si>
  <si>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</si>
  <si>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</si>
  <si>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</si>
  <si>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</si>
  <si>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</si>
  <si>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</si>
  <si>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</si>
  <si>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</si>
  <si>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</si>
  <si>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</si>
  <si>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</si>
  <si>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</si>
  <si>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</si>
  <si>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</si>
  <si>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</si>
  <si>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</si>
  <si>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</si>
  <si>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</si>
  <si>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</si>
  <si>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</si>
  <si>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</si>
  <si>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</si>
  <si>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</si>
  <si>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</si>
  <si>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</si>
  <si>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</si>
  <si>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</si>
  <si>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</si>
  <si>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</si>
  <si>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</si>
  <si>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</si>
  <si>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</si>
  <si>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</si>
  <si>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</si>
  <si>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</si>
  <si>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</si>
  <si>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</si>
  <si>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</si>
  <si>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</si>
  <si>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</si>
  <si>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</si>
  <si>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</si>
  <si>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</si>
  <si>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</si>
  <si>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</si>
  <si>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</si>
  <si>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</si>
  <si>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</si>
  <si>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</si>
  <si>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</si>
  <si>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</si>
  <si>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</si>
  <si>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</si>
  <si>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</si>
  <si>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</si>
  <si>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</si>
  <si>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</si>
  <si>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</si>
  <si>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</si>
  <si>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</si>
  <si>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</si>
  <si>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</si>
  <si>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</si>
  <si>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</si>
  <si>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</si>
  <si>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</si>
  <si>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</si>
  <si>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</si>
  <si>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</si>
  <si>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</si>
  <si>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</si>
  <si>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</si>
  <si>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</si>
  <si>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</si>
  <si>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</si>
  <si>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</si>
  <si>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</si>
  <si>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</si>
  <si>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</si>
  <si>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</si>
  <si>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</si>
  <si>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</si>
  <si>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</si>
  <si>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</si>
  <si>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</si>
  <si>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</si>
  <si>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</si>
  <si>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</si>
  <si>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</si>
  <si>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</si>
  <si>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</si>
  <si>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</si>
  <si>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</si>
  <si>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</si>
  <si>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</si>
  <si>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</si>
  <si>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</si>
  <si>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</si>
  <si>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</si>
  <si>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</si>
  <si>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</si>
  <si>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</si>
  <si>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</si>
  <si>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</si>
  <si>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</si>
  <si>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</si>
  <si>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</si>
  <si>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</si>
  <si>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</si>
  <si>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</si>
  <si>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</si>
  <si>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</si>
  <si>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</si>
  <si>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</si>
  <si>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</si>
  <si>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</si>
  <si>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</si>
  <si>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</si>
  <si>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</si>
  <si>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</si>
  <si>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</si>
  <si>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</si>
  <si>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</si>
  <si>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</si>
  <si>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</si>
  <si>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</si>
  <si>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</si>
  <si>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</si>
  <si>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</si>
  <si>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</si>
  <si>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</si>
  <si>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</si>
  <si>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</si>
  <si>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</si>
  <si>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</si>
  <si>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</si>
  <si>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</si>
  <si>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</si>
  <si>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</si>
  <si>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</si>
  <si>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</si>
  <si>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</si>
  <si>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</si>
  <si>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</si>
  <si>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</si>
  <si>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</si>
  <si>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</si>
  <si>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</si>
  <si>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</si>
  <si>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</si>
  <si>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</si>
  <si>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</si>
  <si>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</si>
  <si>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</si>
  <si>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</si>
  <si>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</si>
  <si>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</si>
  <si>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</si>
  <si>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</si>
  <si>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</si>
  <si>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</si>
  <si>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</si>
  <si>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</si>
  <si>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</si>
  <si>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</si>
  <si>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</si>
  <si>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</si>
  <si>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</si>
  <si>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</si>
  <si>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</si>
  <si>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</si>
  <si>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</si>
  <si>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</si>
  <si>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</si>
  <si>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</si>
  <si>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</si>
  <si>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</si>
  <si>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</si>
  <si>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</si>
  <si>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</si>
  <si>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</si>
  <si>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</si>
  <si>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</si>
  <si>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</si>
  <si>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</si>
  <si>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</si>
  <si>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</si>
  <si>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</si>
  <si>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</si>
  <si>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</si>
  <si>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</si>
  <si>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</si>
  <si>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</si>
  <si>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</si>
  <si>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</si>
  <si>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</si>
  <si>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</si>
  <si>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</si>
  <si>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</si>
  <si>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</si>
  <si>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</si>
  <si>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</si>
  <si>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</si>
  <si>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</si>
  <si>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</si>
  <si>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</si>
  <si>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</si>
  <si>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</si>
  <si>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</si>
  <si>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</si>
  <si>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</si>
  <si>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</si>
  <si>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</si>
  <si>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</si>
  <si>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</si>
  <si>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</si>
  <si>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</si>
  <si>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</si>
  <si>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</si>
  <si>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</si>
  <si>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</si>
  <si>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</si>
  <si>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</si>
  <si>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</si>
  <si>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</si>
  <si>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</si>
  <si>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</si>
  <si>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</si>
  <si>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</si>
  <si>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</si>
  <si>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</si>
  <si>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</si>
  <si>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</si>
  <si>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</si>
  <si>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</si>
  <si>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</si>
  <si>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</si>
  <si>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</si>
  <si>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</si>
  <si>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</si>
  <si>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</si>
  <si>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</si>
  <si>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</si>
  <si>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</si>
  <si>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</si>
  <si>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</si>
  <si>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</si>
  <si>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</si>
  <si>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</si>
  <si>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</si>
  <si>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</si>
  <si>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</si>
  <si>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</si>
  <si>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</si>
  <si>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</si>
  <si>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</si>
  <si>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</si>
  <si>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</si>
  <si>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</si>
  <si>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</si>
  <si>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</si>
  <si>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</si>
  <si>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</si>
  <si>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</si>
  <si>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</si>
  <si>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</si>
  <si>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</si>
  <si>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</si>
  <si>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</si>
  <si>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</si>
  <si>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</si>
  <si>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</si>
  <si>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</si>
  <si>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</si>
  <si>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</si>
  <si>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</si>
  <si>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</si>
  <si>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</si>
  <si>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</si>
  <si>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</si>
  <si>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</si>
  <si>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</si>
  <si>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</si>
  <si>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</si>
  <si>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</si>
  <si>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</si>
  <si>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</si>
  <si>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</si>
  <si>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</si>
  <si>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</si>
  <si>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</si>
  <si>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</si>
  <si>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</si>
  <si>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</si>
  <si>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</si>
  <si>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</si>
  <si>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</si>
  <si>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</si>
  <si>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</si>
  <si>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</si>
  <si>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</si>
  <si>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</si>
  <si>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</si>
  <si>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</si>
  <si>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</si>
  <si>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</si>
  <si>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</si>
  <si>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</si>
  <si>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</si>
  <si>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</si>
  <si>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</si>
  <si>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</si>
  <si>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</si>
  <si>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</si>
  <si>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</si>
  <si>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</si>
  <si>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</si>
  <si>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</si>
  <si>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</si>
  <si>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</si>
  <si>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</si>
  <si>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</si>
  <si>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</si>
  <si>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</si>
  <si>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</si>
  <si>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</si>
  <si>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</si>
  <si>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</si>
  <si>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</si>
  <si>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</si>
  <si>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</si>
  <si>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</si>
  <si>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</si>
  <si>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</si>
  <si>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</si>
  <si>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</si>
  <si>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</si>
  <si>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</si>
  <si>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</si>
  <si>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</si>
  <si>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</si>
  <si>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</si>
  <si>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</si>
  <si>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</si>
  <si>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</si>
  <si>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</si>
  <si>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</si>
  <si>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</si>
  <si>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</si>
  <si>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</si>
  <si>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</si>
  <si>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</si>
  <si>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</si>
  <si>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</si>
  <si>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</si>
  <si>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</si>
  <si>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</si>
  <si>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</si>
  <si>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</si>
  <si>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</si>
  <si>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</si>
  <si>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</si>
  <si>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</si>
  <si>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</si>
  <si>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</si>
  <si>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</si>
  <si>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</si>
  <si>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</si>
  <si>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</si>
  <si>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</si>
  <si>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</si>
  <si>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</si>
  <si>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</si>
  <si>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</si>
  <si>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</si>
  <si>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</si>
  <si>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</si>
  <si>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</si>
  <si>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</si>
  <si>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</si>
  <si>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</si>
  <si>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</si>
  <si>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</si>
  <si>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</si>
  <si>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</si>
  <si>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</si>
  <si>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</si>
  <si>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</si>
  <si>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</si>
  <si>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</si>
  <si>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</si>
  <si>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</si>
  <si>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</si>
  <si>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</si>
  <si>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</si>
  <si>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</si>
  <si>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</si>
  <si>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</si>
  <si>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</si>
  <si>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</si>
  <si>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</si>
  <si>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</si>
  <si>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</si>
  <si>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</si>
  <si>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</si>
  <si>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</si>
  <si>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</si>
  <si>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</si>
  <si>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</si>
  <si>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</si>
  <si>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</si>
  <si>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</si>
  <si>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</si>
  <si>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</si>
  <si>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</si>
  <si>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</si>
  <si>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</si>
  <si>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</si>
  <si>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</si>
  <si>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</si>
  <si>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</si>
  <si>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</si>
  <si>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</si>
  <si>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</si>
  <si>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</si>
  <si>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</si>
  <si>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</si>
  <si>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</si>
  <si>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</si>
  <si>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</si>
  <si>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</si>
  <si>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</si>
  <si>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</si>
  <si>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</si>
  <si>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</si>
  <si>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</si>
  <si>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</si>
  <si>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</si>
  <si>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</si>
  <si>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</si>
  <si>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</si>
  <si>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</si>
  <si>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</si>
  <si>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</si>
  <si>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</si>
  <si>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</si>
  <si>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</si>
  <si>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</si>
  <si>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P3652</t>
  </si>
  <si>
    <t>P9981</t>
  </si>
  <si>
    <t>P5280</t>
  </si>
  <si>
    <t>P2930</t>
  </si>
  <si>
    <t>P7925</t>
  </si>
  <si>
    <t>P9919</t>
  </si>
  <si>
    <t>P7231</t>
  </si>
  <si>
    <t>P5965</t>
  </si>
  <si>
    <t>P3834</t>
  </si>
  <si>
    <t>P4220</t>
  </si>
  <si>
    <t>P1038</t>
  </si>
  <si>
    <t>P7407</t>
  </si>
  <si>
    <t>P4776</t>
  </si>
  <si>
    <t>P6935</t>
  </si>
  <si>
    <t>P9150</t>
  </si>
  <si>
    <t>P9796</t>
  </si>
  <si>
    <t>P5317</t>
  </si>
  <si>
    <t>P5320</t>
  </si>
  <si>
    <t>P8261</t>
  </si>
  <si>
    <t>P6549</t>
  </si>
  <si>
    <t>P1758</t>
  </si>
  <si>
    <t>P5785</t>
  </si>
  <si>
    <t>P4722</t>
  </si>
  <si>
    <t>P8146</t>
  </si>
  <si>
    <t>P2146</t>
  </si>
  <si>
    <t>P3548</t>
  </si>
  <si>
    <t>P2609</t>
  </si>
  <si>
    <t>P4851</t>
  </si>
  <si>
    <t>P5046</t>
  </si>
  <si>
    <t>P4408</t>
  </si>
  <si>
    <t>P3683</t>
  </si>
  <si>
    <t>P6285</t>
  </si>
  <si>
    <t>P4554</t>
  </si>
  <si>
    <t>P6724</t>
  </si>
  <si>
    <t>P2965</t>
  </si>
  <si>
    <t>P4961</t>
  </si>
  <si>
    <t>P2861</t>
  </si>
  <si>
    <t>P7945</t>
  </si>
  <si>
    <t>P3668</t>
  </si>
  <si>
    <t>P3875</t>
  </si>
  <si>
    <t>P2707</t>
  </si>
  <si>
    <t>P2683</t>
  </si>
  <si>
    <t>P2171</t>
  </si>
  <si>
    <t>P5497</t>
  </si>
  <si>
    <t>P7820</t>
  </si>
  <si>
    <t>P5339</t>
  </si>
  <si>
    <t>P2125</t>
  </si>
  <si>
    <t>P1178</t>
  </si>
  <si>
    <t>P2502</t>
  </si>
  <si>
    <t>P5155</t>
  </si>
  <si>
    <t>P3174</t>
  </si>
  <si>
    <t>P8266</t>
  </si>
  <si>
    <t>P9579</t>
  </si>
  <si>
    <t>P5714</t>
  </si>
  <si>
    <t>P4102</t>
  </si>
  <si>
    <t>P1285</t>
  </si>
  <si>
    <t>P7588</t>
  </si>
  <si>
    <t>P9514</t>
  </si>
  <si>
    <t>P1110</t>
  </si>
  <si>
    <t>P2205</t>
  </si>
  <si>
    <t>P7473</t>
  </si>
  <si>
    <t>P1805</t>
  </si>
  <si>
    <t>P3641</t>
  </si>
  <si>
    <t>P6094</t>
  </si>
  <si>
    <t>P5717</t>
  </si>
  <si>
    <t>P2499</t>
  </si>
  <si>
    <t>P9667</t>
  </si>
  <si>
    <t>P9995</t>
  </si>
  <si>
    <t>P8527</t>
  </si>
  <si>
    <t>P6322</t>
  </si>
  <si>
    <t>P8019</t>
  </si>
  <si>
    <t>P3539</t>
  </si>
  <si>
    <t>P8666</t>
  </si>
  <si>
    <t>P8845</t>
  </si>
  <si>
    <t>P3222</t>
  </si>
  <si>
    <t>P1269</t>
  </si>
  <si>
    <t>P6534</t>
  </si>
  <si>
    <t>P1662</t>
  </si>
  <si>
    <t>P9765</t>
  </si>
  <si>
    <t>P2463</t>
  </si>
  <si>
    <t>P3235</t>
  </si>
  <si>
    <t>P7193</t>
  </si>
  <si>
    <t>P1366</t>
  </si>
  <si>
    <t>P3144</t>
  </si>
  <si>
    <t>P2977</t>
  </si>
  <si>
    <t>P8703</t>
  </si>
  <si>
    <t>P9792</t>
  </si>
  <si>
    <t>P5000</t>
  </si>
  <si>
    <t>P5536</t>
  </si>
  <si>
    <t>P3420</t>
  </si>
  <si>
    <t>P6128</t>
  </si>
  <si>
    <t>P5817</t>
  </si>
  <si>
    <t>P6677</t>
  </si>
  <si>
    <t>P5248</t>
  </si>
  <si>
    <t>P7669</t>
  </si>
  <si>
    <t>P1126</t>
  </si>
  <si>
    <t>P8252</t>
  </si>
  <si>
    <t>P9800</t>
  </si>
  <si>
    <t>P5367</t>
  </si>
  <si>
    <t>P6401</t>
  </si>
  <si>
    <t>P1736</t>
  </si>
  <si>
    <t>P5013</t>
  </si>
  <si>
    <t>P9492</t>
  </si>
  <si>
    <t>P2590</t>
  </si>
  <si>
    <t>P8823</t>
  </si>
  <si>
    <t>P1933</t>
  </si>
  <si>
    <t>P2082</t>
  </si>
  <si>
    <t>P9730</t>
  </si>
  <si>
    <t>P1583</t>
  </si>
  <si>
    <t>P3011</t>
  </si>
  <si>
    <t>P7599</t>
  </si>
  <si>
    <t>P2615</t>
  </si>
  <si>
    <t>P5890</t>
  </si>
  <si>
    <t>P7715</t>
  </si>
  <si>
    <t>P4728</t>
  </si>
  <si>
    <t>P8621</t>
  </si>
  <si>
    <t>P4118</t>
  </si>
  <si>
    <t>P1199</t>
  </si>
  <si>
    <t>P7130</t>
  </si>
  <si>
    <t>P1992</t>
  </si>
  <si>
    <t>P2064</t>
  </si>
  <si>
    <t>P9571</t>
  </si>
  <si>
    <t>P9017</t>
  </si>
  <si>
    <t>P8062</t>
  </si>
  <si>
    <t>P6411</t>
  </si>
  <si>
    <t>P4959</t>
  </si>
  <si>
    <t>P8564</t>
  </si>
  <si>
    <t>P9652</t>
  </si>
  <si>
    <t>P6617</t>
  </si>
  <si>
    <t>P2180</t>
  </si>
  <si>
    <t>P2956</t>
  </si>
  <si>
    <t>P3200</t>
  </si>
  <si>
    <t>P9368</t>
  </si>
  <si>
    <t>P7857</t>
  </si>
  <si>
    <t>P4039</t>
  </si>
  <si>
    <t>P4544</t>
  </si>
  <si>
    <t>P4842</t>
  </si>
  <si>
    <t>P2727</t>
  </si>
  <si>
    <t>P7235</t>
  </si>
  <si>
    <t>P8203</t>
  </si>
  <si>
    <t>P2317</t>
  </si>
  <si>
    <t>P1686</t>
  </si>
  <si>
    <t>P3775</t>
  </si>
  <si>
    <t>P2026</t>
  </si>
  <si>
    <t>P6441</t>
  </si>
  <si>
    <t>P2573</t>
  </si>
  <si>
    <t>P2593</t>
  </si>
  <si>
    <t>P5644</t>
  </si>
  <si>
    <t>P5906</t>
  </si>
  <si>
    <t>P4716</t>
  </si>
  <si>
    <t>P8055</t>
  </si>
  <si>
    <t>P2328</t>
  </si>
  <si>
    <t>P2755</t>
  </si>
  <si>
    <t>P5941</t>
  </si>
  <si>
    <t>P4783</t>
  </si>
  <si>
    <t>P7795</t>
  </si>
  <si>
    <t>P5207</t>
  </si>
  <si>
    <t>P7830</t>
  </si>
  <si>
    <t>P9575</t>
  </si>
  <si>
    <t>P8379</t>
  </si>
  <si>
    <t>P4355</t>
  </si>
  <si>
    <t>P6225</t>
  </si>
  <si>
    <t>P9011</t>
  </si>
  <si>
    <t>P4379</t>
  </si>
  <si>
    <t>P6734</t>
  </si>
  <si>
    <t>P1828</t>
  </si>
  <si>
    <t>P1330</t>
  </si>
  <si>
    <t>P4426</t>
  </si>
  <si>
    <t>P7943</t>
  </si>
  <si>
    <t>P7565</t>
  </si>
  <si>
    <t>P4796</t>
  </si>
  <si>
    <t>P6406</t>
  </si>
  <si>
    <t>P3229</t>
  </si>
  <si>
    <t>P4485</t>
  </si>
  <si>
    <t>P4333</t>
  </si>
  <si>
    <t>P3013</t>
  </si>
  <si>
    <t>P9205</t>
  </si>
  <si>
    <t>P2490</t>
  </si>
  <si>
    <t>P3609</t>
  </si>
  <si>
    <t>P2506</t>
  </si>
  <si>
    <t>P6474</t>
  </si>
  <si>
    <t>P5211</t>
  </si>
  <si>
    <t>P7900</t>
  </si>
  <si>
    <t>P6989</t>
  </si>
  <si>
    <t>P4279</t>
  </si>
  <si>
    <t>P5227</t>
  </si>
  <si>
    <t>P2833</t>
  </si>
  <si>
    <t>P3866</t>
  </si>
  <si>
    <t>P9566</t>
  </si>
  <si>
    <t>P1819</t>
  </si>
  <si>
    <t>P5750</t>
  </si>
  <si>
    <t>P8044</t>
  </si>
  <si>
    <t>P7656</t>
  </si>
  <si>
    <t>P9860</t>
  </si>
  <si>
    <t>P7486</t>
  </si>
  <si>
    <t>P5966</t>
  </si>
  <si>
    <t>P8953</t>
  </si>
  <si>
    <t>P5877</t>
  </si>
  <si>
    <t>P7851</t>
  </si>
  <si>
    <t>P8927</t>
  </si>
  <si>
    <t>P3345</t>
  </si>
  <si>
    <t>P1709</t>
  </si>
  <si>
    <t>P3727</t>
  </si>
  <si>
    <t>P6903</t>
  </si>
  <si>
    <t>P9657</t>
  </si>
  <si>
    <t>P6523</t>
  </si>
  <si>
    <t>P4216</t>
  </si>
  <si>
    <t>P5442</t>
  </si>
  <si>
    <t>P5369</t>
  </si>
  <si>
    <t>P2904</t>
  </si>
  <si>
    <t>P2461</t>
  </si>
  <si>
    <t>P3087</t>
  </si>
  <si>
    <t>P1617</t>
  </si>
  <si>
    <t>P3673</t>
  </si>
  <si>
    <t>P7757</t>
  </si>
  <si>
    <t>P1073</t>
  </si>
  <si>
    <t>P9392</t>
  </si>
  <si>
    <t>P8292</t>
  </si>
  <si>
    <t>P4744</t>
  </si>
  <si>
    <t>P1940</t>
  </si>
  <si>
    <t>P7147</t>
  </si>
  <si>
    <t>P9650</t>
  </si>
  <si>
    <t>P4765</t>
  </si>
  <si>
    <t>P1732</t>
  </si>
  <si>
    <t>P7236</t>
  </si>
  <si>
    <t>P9363</t>
  </si>
  <si>
    <t>P8348</t>
  </si>
  <si>
    <t>P8315</t>
  </si>
  <si>
    <t>P4086</t>
  </si>
  <si>
    <t>P5994</t>
  </si>
  <si>
    <t>P5794</t>
  </si>
  <si>
    <t>P4427</t>
  </si>
  <si>
    <t>P4599</t>
  </si>
  <si>
    <t>P3944</t>
  </si>
  <si>
    <t>P9467</t>
  </si>
  <si>
    <t>P9330</t>
  </si>
  <si>
    <t>P7057</t>
  </si>
  <si>
    <t>P5909</t>
  </si>
  <si>
    <t>P8810</t>
  </si>
  <si>
    <t>P8881</t>
  </si>
  <si>
    <t>P4807</t>
  </si>
  <si>
    <t>P3394</t>
  </si>
  <si>
    <t>P2659</t>
  </si>
  <si>
    <t>P3780</t>
  </si>
  <si>
    <t>P2357</t>
  </si>
  <si>
    <t>P6820</t>
  </si>
  <si>
    <t>P7067</t>
  </si>
  <si>
    <t>P6499</t>
  </si>
  <si>
    <t>P5142</t>
  </si>
  <si>
    <t>P4616</t>
  </si>
  <si>
    <t>P7433</t>
  </si>
  <si>
    <t>P8958</t>
  </si>
  <si>
    <t>P1212</t>
  </si>
  <si>
    <t>P8750</t>
  </si>
  <si>
    <t>P7483</t>
  </si>
  <si>
    <t>P3905</t>
  </si>
  <si>
    <t>P6567</t>
  </si>
  <si>
    <t>P2068</t>
  </si>
  <si>
    <t>P4801</t>
  </si>
  <si>
    <t>P9642</t>
  </si>
  <si>
    <t>P4625</t>
  </si>
  <si>
    <t>P3615</t>
  </si>
  <si>
    <t>P9094</t>
  </si>
  <si>
    <t>P7072</t>
  </si>
  <si>
    <t>P4911</t>
  </si>
  <si>
    <t>P5122</t>
  </si>
  <si>
    <t>P4950</t>
  </si>
  <si>
    <t>P7472</t>
  </si>
  <si>
    <t>P2232</t>
  </si>
  <si>
    <t>P8649</t>
  </si>
  <si>
    <t>P7465</t>
  </si>
  <si>
    <t>P8384</t>
  </si>
  <si>
    <t>P9835</t>
  </si>
  <si>
    <t>P5712</t>
  </si>
  <si>
    <t>P7701</t>
  </si>
  <si>
    <t>P7004</t>
  </si>
  <si>
    <t>P4597</t>
  </si>
  <si>
    <t>P3464</t>
  </si>
  <si>
    <t>P1653</t>
  </si>
  <si>
    <t>P8328</t>
  </si>
  <si>
    <t>P8167</t>
  </si>
  <si>
    <t>P6334</t>
  </si>
  <si>
    <t>P4420</t>
  </si>
  <si>
    <t>P6223</t>
  </si>
  <si>
    <t>P2113</t>
  </si>
  <si>
    <t>P6122</t>
  </si>
  <si>
    <t>P2984</t>
  </si>
  <si>
    <t>P8996</t>
  </si>
  <si>
    <t>P1051</t>
  </si>
  <si>
    <t>P2001</t>
  </si>
  <si>
    <t>P1898</t>
  </si>
  <si>
    <t>P2792</t>
  </si>
  <si>
    <t>P8477</t>
  </si>
  <si>
    <t>P1529</t>
  </si>
  <si>
    <t>P5078</t>
  </si>
  <si>
    <t>P8482</t>
  </si>
  <si>
    <t>P1757</t>
  </si>
  <si>
    <t>P2330</t>
  </si>
  <si>
    <t>P2906</t>
  </si>
  <si>
    <t>P9068</t>
  </si>
  <si>
    <t>P6026</t>
  </si>
  <si>
    <t>P8611</t>
  </si>
  <si>
    <t>P5092</t>
  </si>
  <si>
    <t>P6038</t>
  </si>
  <si>
    <t>P5060</t>
  </si>
  <si>
    <t>P9354</t>
  </si>
  <si>
    <t>P6556</t>
  </si>
  <si>
    <t>P6685</t>
  </si>
  <si>
    <t>P3050</t>
  </si>
  <si>
    <t>P2939</t>
  </si>
  <si>
    <t>P4946</t>
  </si>
  <si>
    <t>P2067</t>
  </si>
  <si>
    <t>P1338</t>
  </si>
  <si>
    <t>P3964</t>
  </si>
  <si>
    <t>P6010</t>
  </si>
  <si>
    <t>P7890</t>
  </si>
  <si>
    <t>P5731</t>
  </si>
  <si>
    <t>P2254</t>
  </si>
  <si>
    <t>P2231</t>
  </si>
  <si>
    <t>P2736</t>
  </si>
  <si>
    <t>P3118</t>
  </si>
  <si>
    <t>P3169</t>
  </si>
  <si>
    <t>P6447</t>
  </si>
  <si>
    <t>P1496</t>
  </si>
  <si>
    <t>P4764</t>
  </si>
  <si>
    <t>P8963</t>
  </si>
  <si>
    <t>P1470</t>
  </si>
  <si>
    <t>P5228</t>
  </si>
  <si>
    <t>P4680</t>
  </si>
  <si>
    <t>P2974</t>
  </si>
  <si>
    <t>P9449</t>
  </si>
  <si>
    <t>P1806</t>
  </si>
  <si>
    <t>P6015</t>
  </si>
  <si>
    <t>P7017</t>
  </si>
  <si>
    <t>P9340</t>
  </si>
  <si>
    <t>P6916</t>
  </si>
  <si>
    <t>P9975</t>
  </si>
  <si>
    <t>P6815</t>
  </si>
  <si>
    <t>P4525</t>
  </si>
  <si>
    <t>P8336</t>
  </si>
  <si>
    <t>P6418</t>
  </si>
  <si>
    <t>P9419</t>
  </si>
  <si>
    <t>P9081</t>
  </si>
  <si>
    <t>P7887</t>
  </si>
  <si>
    <t>P8561</t>
  </si>
  <si>
    <t>P2482</t>
  </si>
  <si>
    <t>P4996</t>
  </si>
  <si>
    <t>P2102</t>
  </si>
  <si>
    <t>P9101</t>
  </si>
  <si>
    <t>P7149</t>
  </si>
  <si>
    <t>P1901</t>
  </si>
  <si>
    <t>P8092</t>
  </si>
  <si>
    <t>P9731</t>
  </si>
  <si>
    <t>P8648</t>
  </si>
  <si>
    <t>P3956</t>
  </si>
  <si>
    <t>P8050</t>
  </si>
  <si>
    <t>P9065</t>
  </si>
  <si>
    <t>P1888</t>
  </si>
  <si>
    <t>P8007</t>
  </si>
  <si>
    <t>P7375</t>
  </si>
  <si>
    <t>P4682</t>
  </si>
  <si>
    <t>P6367</t>
  </si>
  <si>
    <t>P1693</t>
  </si>
  <si>
    <t>P6086</t>
  </si>
  <si>
    <t>P1855</t>
  </si>
  <si>
    <t>P9993</t>
  </si>
  <si>
    <t>P1603</t>
  </si>
  <si>
    <t>P5838</t>
  </si>
  <si>
    <t>P4545</t>
  </si>
  <si>
    <t>P7247</t>
  </si>
  <si>
    <t>P2591</t>
  </si>
  <si>
    <t>P1302</t>
  </si>
  <si>
    <t>P7023</t>
  </si>
  <si>
    <t>P3795</t>
  </si>
  <si>
    <t>P6609</t>
  </si>
  <si>
    <t>P8505</t>
  </si>
  <si>
    <t>P6967</t>
  </si>
  <si>
    <t>P5885</t>
  </si>
  <si>
    <t>P2635</t>
  </si>
  <si>
    <t>P6440</t>
  </si>
  <si>
    <t>P4758</t>
  </si>
  <si>
    <t>P9103</t>
  </si>
  <si>
    <t>P1344</t>
  </si>
  <si>
    <t>P2684</t>
  </si>
  <si>
    <t>P1494</t>
  </si>
  <si>
    <t>P6548</t>
  </si>
  <si>
    <t>P8926</t>
  </si>
  <si>
    <t>P2202</t>
  </si>
  <si>
    <t>P9321</t>
  </si>
  <si>
    <t>P6922</t>
  </si>
  <si>
    <t>P6788</t>
  </si>
  <si>
    <t>P1936</t>
  </si>
  <si>
    <t>P3613</t>
  </si>
  <si>
    <t>P1659</t>
  </si>
  <si>
    <t>P8982</t>
  </si>
  <si>
    <t>P4516</t>
  </si>
  <si>
    <t>P6700</t>
  </si>
  <si>
    <t>P3545</t>
  </si>
  <si>
    <t>P8156</t>
  </si>
  <si>
    <t>P9402</t>
  </si>
  <si>
    <t>P2227</t>
  </si>
  <si>
    <t>P2497</t>
  </si>
  <si>
    <t>P3311</t>
  </si>
  <si>
    <t>P4171</t>
  </si>
  <si>
    <t>P5355</t>
  </si>
  <si>
    <t>P4285</t>
  </si>
  <si>
    <t>P6369</t>
  </si>
  <si>
    <t>P1436</t>
  </si>
  <si>
    <t>P5233</t>
  </si>
  <si>
    <t>P5382</t>
  </si>
  <si>
    <t>P1065</t>
  </si>
  <si>
    <t>P8628</t>
  </si>
  <si>
    <t>P9217</t>
  </si>
  <si>
    <t>P9334</t>
  </si>
  <si>
    <t>P8641</t>
  </si>
  <si>
    <t>P8632</t>
  </si>
  <si>
    <t>P6749</t>
  </si>
  <si>
    <t>P8176</t>
  </si>
  <si>
    <t>P9104</t>
  </si>
  <si>
    <t>P5582</t>
  </si>
  <si>
    <t>P4908</t>
  </si>
  <si>
    <t>P8542</t>
  </si>
  <si>
    <t>P7163</t>
  </si>
  <si>
    <t>P2427</t>
  </si>
  <si>
    <t>P1911</t>
  </si>
  <si>
    <t>P2246</t>
  </si>
  <si>
    <t>P2996</t>
  </si>
  <si>
    <t>P9175</t>
  </si>
  <si>
    <t>P1726</t>
  </si>
  <si>
    <t>P1604</t>
  </si>
  <si>
    <t>P4812</t>
  </si>
  <si>
    <t>P5667</t>
  </si>
  <si>
    <t>P4138</t>
  </si>
  <si>
    <t>P9949</t>
  </si>
  <si>
    <t>P9493</t>
  </si>
  <si>
    <t>P8787</t>
  </si>
  <si>
    <t>P6434</t>
  </si>
  <si>
    <t>P7453</t>
  </si>
  <si>
    <t>P1920</t>
  </si>
  <si>
    <t>P5705</t>
  </si>
  <si>
    <t>P3198</t>
  </si>
  <si>
    <t>P5894</t>
  </si>
  <si>
    <t>P9365</t>
  </si>
  <si>
    <t>P7874</t>
  </si>
  <si>
    <t>P4547</t>
  </si>
  <si>
    <t>P4283</t>
  </si>
  <si>
    <t>P5820</t>
  </si>
  <si>
    <t>P8552</t>
  </si>
  <si>
    <t>P5695</t>
  </si>
  <si>
    <t>P6581</t>
  </si>
  <si>
    <t>P4636</t>
  </si>
  <si>
    <t>P2853</t>
  </si>
  <si>
    <t>P3252</t>
  </si>
  <si>
    <t>P2743</t>
  </si>
  <si>
    <t>P1878</t>
  </si>
  <si>
    <t>P1450</t>
  </si>
  <si>
    <t>P3228</t>
  </si>
  <si>
    <t>P9747</t>
  </si>
  <si>
    <t>P2925</t>
  </si>
  <si>
    <t>P9769</t>
  </si>
  <si>
    <t>P7312</t>
  </si>
  <si>
    <t>P3023</t>
  </si>
  <si>
    <t>P4635</t>
  </si>
  <si>
    <t>P8912</t>
  </si>
  <si>
    <t>P9766</t>
  </si>
  <si>
    <t>P2059</t>
  </si>
  <si>
    <t>P3378</t>
  </si>
  <si>
    <t>P5699</t>
  </si>
  <si>
    <t>P7340</t>
  </si>
  <si>
    <t>P5458</t>
  </si>
  <si>
    <t>P6129</t>
  </si>
  <si>
    <t>P6524</t>
  </si>
  <si>
    <t>P3747</t>
  </si>
  <si>
    <t>P3923</t>
  </si>
  <si>
    <t>P1788</t>
  </si>
  <si>
    <t>P2044</t>
  </si>
  <si>
    <t>P1977</t>
  </si>
  <si>
    <t>P1280</t>
  </si>
  <si>
    <t>P9973</t>
  </si>
  <si>
    <t>P8692</t>
  </si>
  <si>
    <t>P6606</t>
  </si>
  <si>
    <t>P2133</t>
  </si>
  <si>
    <t>P3534</t>
  </si>
  <si>
    <t>P7831</t>
  </si>
  <si>
    <t>P2872</t>
  </si>
  <si>
    <t>P1457</t>
  </si>
  <si>
    <t>P6771</t>
  </si>
  <si>
    <t>P1107</t>
  </si>
  <si>
    <t>P4402</t>
  </si>
  <si>
    <t>harrisrichard</t>
  </si>
  <si>
    <t>wlee</t>
  </si>
  <si>
    <t>katie47</t>
  </si>
  <si>
    <t>isaac85</t>
  </si>
  <si>
    <t>ballarddouglas</t>
  </si>
  <si>
    <t>lrichardson</t>
  </si>
  <si>
    <t>holmesbruce</t>
  </si>
  <si>
    <t>lhansen</t>
  </si>
  <si>
    <t>alexis47</t>
  </si>
  <si>
    <t>ryanmarshall</t>
  </si>
  <si>
    <t>alexandriaparrish</t>
  </si>
  <si>
    <t>jacobhaynes</t>
  </si>
  <si>
    <t>xjoseph</t>
  </si>
  <si>
    <t>yjohnson</t>
  </si>
  <si>
    <t>lesliemiller</t>
  </si>
  <si>
    <t>raynatalie</t>
  </si>
  <si>
    <t>xtaylor</t>
  </si>
  <si>
    <t>aguilarjennifer</t>
  </si>
  <si>
    <t>lmeza</t>
  </si>
  <si>
    <t>michael06</t>
  </si>
  <si>
    <t>lawsonderrick</t>
  </si>
  <si>
    <t>icrawford</t>
  </si>
  <si>
    <t>david54</t>
  </si>
  <si>
    <t>rcraig</t>
  </si>
  <si>
    <t>kvasquez</t>
  </si>
  <si>
    <t>erica07</t>
  </si>
  <si>
    <t>owensoscar</t>
  </si>
  <si>
    <t>wlawson</t>
  </si>
  <si>
    <t>kevinruiz</t>
  </si>
  <si>
    <t>dlee</t>
  </si>
  <si>
    <t>rebekah64</t>
  </si>
  <si>
    <t>katherinejohnston</t>
  </si>
  <si>
    <t>odavis</t>
  </si>
  <si>
    <t>tylermiller</t>
  </si>
  <si>
    <t>sonya77</t>
  </si>
  <si>
    <t>sandyherman</t>
  </si>
  <si>
    <t>leahlee</t>
  </si>
  <si>
    <t>richardhooper</t>
  </si>
  <si>
    <t>jenniferwilcox</t>
  </si>
  <si>
    <t>bruce09</t>
  </si>
  <si>
    <t>tpark</t>
  </si>
  <si>
    <t>csanchez</t>
  </si>
  <si>
    <t>nnguyen</t>
  </si>
  <si>
    <t>vmooney</t>
  </si>
  <si>
    <t>jennifer87</t>
  </si>
  <si>
    <t>jcarter</t>
  </si>
  <si>
    <t>jlane</t>
  </si>
  <si>
    <t>nathan33</t>
  </si>
  <si>
    <t>owensjoseph</t>
  </si>
  <si>
    <t>griffinsarah</t>
  </si>
  <si>
    <t>petersonlacey</t>
  </si>
  <si>
    <t>cynthiapoole</t>
  </si>
  <si>
    <t>richardsjessica</t>
  </si>
  <si>
    <t>fforbes</t>
  </si>
  <si>
    <t>odonnelljennifer</t>
  </si>
  <si>
    <t>amylong</t>
  </si>
  <si>
    <t>usnyder</t>
  </si>
  <si>
    <t>dianaburgess</t>
  </si>
  <si>
    <t>joseph32</t>
  </si>
  <si>
    <t>fstewart</t>
  </si>
  <si>
    <t>sholmes</t>
  </si>
  <si>
    <t>charlesjohnson</t>
  </si>
  <si>
    <t>davischristopher</t>
  </si>
  <si>
    <t>jenniferarnold</t>
  </si>
  <si>
    <t>palmerashley</t>
  </si>
  <si>
    <t>mbowen</t>
  </si>
  <si>
    <t>harrisonsteven</t>
  </si>
  <si>
    <t>tinapreston</t>
  </si>
  <si>
    <t>claudiasilva</t>
  </si>
  <si>
    <t>noah21</t>
  </si>
  <si>
    <t>nwatkins</t>
  </si>
  <si>
    <t>martinderrick</t>
  </si>
  <si>
    <t>craiggail</t>
  </si>
  <si>
    <t>connerkevin</t>
  </si>
  <si>
    <t>fmayer</t>
  </si>
  <si>
    <t>bryantdawn</t>
  </si>
  <si>
    <t>lindsay74</t>
  </si>
  <si>
    <t>ehill</t>
  </si>
  <si>
    <t>hannah41</t>
  </si>
  <si>
    <t>bentonashley</t>
  </si>
  <si>
    <t>kellyhill</t>
  </si>
  <si>
    <t>tlloyd</t>
  </si>
  <si>
    <t>robinatkinson</t>
  </si>
  <si>
    <t>karen96</t>
  </si>
  <si>
    <t>mark79</t>
  </si>
  <si>
    <t>wayne88</t>
  </si>
  <si>
    <t>jack75</t>
  </si>
  <si>
    <t>shenderson</t>
  </si>
  <si>
    <t>manderson</t>
  </si>
  <si>
    <t>boylejeffrey</t>
  </si>
  <si>
    <t>justinvargas</t>
  </si>
  <si>
    <t>smullins</t>
  </si>
  <si>
    <t>cynthiasimmons</t>
  </si>
  <si>
    <t>qwatson</t>
  </si>
  <si>
    <t>xreed</t>
  </si>
  <si>
    <t>melanie00</t>
  </si>
  <si>
    <t>richardward</t>
  </si>
  <si>
    <t>riggsbarbara</t>
  </si>
  <si>
    <t>sroach</t>
  </si>
  <si>
    <t>jeffreyluna</t>
  </si>
  <si>
    <t>chavezmelissa</t>
  </si>
  <si>
    <t>qserrano</t>
  </si>
  <si>
    <t>angelabutler</t>
  </si>
  <si>
    <t>ggriffith</t>
  </si>
  <si>
    <t>chrisperkins</t>
  </si>
  <si>
    <t>blakewallace</t>
  </si>
  <si>
    <t>ismith</t>
  </si>
  <si>
    <t>amydunn</t>
  </si>
  <si>
    <t>awise</t>
  </si>
  <si>
    <t>jennifer33</t>
  </si>
  <si>
    <t>heatherpayne</t>
  </si>
  <si>
    <t>keithmaddox</t>
  </si>
  <si>
    <t>fuentesmelanie</t>
  </si>
  <si>
    <t>melissa89</t>
  </si>
  <si>
    <t>jill75</t>
  </si>
  <si>
    <t>vhart</t>
  </si>
  <si>
    <t>marilynharrison</t>
  </si>
  <si>
    <t>davisamy</t>
  </si>
  <si>
    <t>dorseyemily</t>
  </si>
  <si>
    <t>garymeyers</t>
  </si>
  <si>
    <t>elee</t>
  </si>
  <si>
    <t>jennifer29</t>
  </si>
  <si>
    <t>davidkelley</t>
  </si>
  <si>
    <t>haroldsawyer</t>
  </si>
  <si>
    <t>albertkelly</t>
  </si>
  <si>
    <t>chambersnicole</t>
  </si>
  <si>
    <t>jacobsonmichael</t>
  </si>
  <si>
    <t>robert48</t>
  </si>
  <si>
    <t>wyattsanchez</t>
  </si>
  <si>
    <t>vedwards</t>
  </si>
  <si>
    <t>figueroadoris</t>
  </si>
  <si>
    <t>briansteele</t>
  </si>
  <si>
    <t>huangdana</t>
  </si>
  <si>
    <t>robert23</t>
  </si>
  <si>
    <t>thomasmonica</t>
  </si>
  <si>
    <t>griffithbilly</t>
  </si>
  <si>
    <t>alanguerrero</t>
  </si>
  <si>
    <t>timothy18</t>
  </si>
  <si>
    <t>martinrobert</t>
  </si>
  <si>
    <t>deckeramanda</t>
  </si>
  <si>
    <t>allison25</t>
  </si>
  <si>
    <t>reedchad</t>
  </si>
  <si>
    <t>kennedyjacob</t>
  </si>
  <si>
    <t>robertohobbs</t>
  </si>
  <si>
    <t>michellemurphy</t>
  </si>
  <si>
    <t>castillowilliam</t>
  </si>
  <si>
    <t>manuel15</t>
  </si>
  <si>
    <t>melissa77</t>
  </si>
  <si>
    <t>pkim</t>
  </si>
  <si>
    <t>erinjones</t>
  </si>
  <si>
    <t>harrispamela</t>
  </si>
  <si>
    <t>onoble</t>
  </si>
  <si>
    <t>jamie88</t>
  </si>
  <si>
    <t>davidsingleton</t>
  </si>
  <si>
    <t>byrdevelyn</t>
  </si>
  <si>
    <t>ivan06</t>
  </si>
  <si>
    <t>gabriellogan</t>
  </si>
  <si>
    <t>gsmith</t>
  </si>
  <si>
    <t>morrismelissa</t>
  </si>
  <si>
    <t>courtneycarr</t>
  </si>
  <si>
    <t>thomasowens</t>
  </si>
  <si>
    <t>robertsoncynthia</t>
  </si>
  <si>
    <t>uhudson</t>
  </si>
  <si>
    <t>victoriastone</t>
  </si>
  <si>
    <t>adam91</t>
  </si>
  <si>
    <t>robertroberts</t>
  </si>
  <si>
    <t>walkerdeborah</t>
  </si>
  <si>
    <t>whitemary</t>
  </si>
  <si>
    <t>fray</t>
  </si>
  <si>
    <t>weaverdaniel</t>
  </si>
  <si>
    <t>joe22</t>
  </si>
  <si>
    <t>vaughnlori</t>
  </si>
  <si>
    <t>ambersmith</t>
  </si>
  <si>
    <t>okoch</t>
  </si>
  <si>
    <t>shannonevans</t>
  </si>
  <si>
    <t>gina94</t>
  </si>
  <si>
    <t>iyoung</t>
  </si>
  <si>
    <t>matthewcasey</t>
  </si>
  <si>
    <t>smayo</t>
  </si>
  <si>
    <t>douglas13</t>
  </si>
  <si>
    <t>bakerjohn</t>
  </si>
  <si>
    <t>brianlopez</t>
  </si>
  <si>
    <t>troberts</t>
  </si>
  <si>
    <t>robertmassey</t>
  </si>
  <si>
    <t>ynovak</t>
  </si>
  <si>
    <t>colinmartinez</t>
  </si>
  <si>
    <t>schultzkatherine</t>
  </si>
  <si>
    <t>romerostephanie</t>
  </si>
  <si>
    <t>otaylor</t>
  </si>
  <si>
    <t>snguyen</t>
  </si>
  <si>
    <t>christine87</t>
  </si>
  <si>
    <t>kerry23</t>
  </si>
  <si>
    <t>natashamartin</t>
  </si>
  <si>
    <t>rileyjason</t>
  </si>
  <si>
    <t>garciadanielle</t>
  </si>
  <si>
    <t>walterkayla</t>
  </si>
  <si>
    <t>henryrosales</t>
  </si>
  <si>
    <t>nrichmond</t>
  </si>
  <si>
    <t>andrewbrown</t>
  </si>
  <si>
    <t>qmills</t>
  </si>
  <si>
    <t>qcarrillo</t>
  </si>
  <si>
    <t>mcdanielautumn</t>
  </si>
  <si>
    <t>jperkins</t>
  </si>
  <si>
    <t>hernandezmichael</t>
  </si>
  <si>
    <t>xpadilla</t>
  </si>
  <si>
    <t>wjohnson</t>
  </si>
  <si>
    <t>darren53</t>
  </si>
  <si>
    <t>nathanielchavez</t>
  </si>
  <si>
    <t>selliott</t>
  </si>
  <si>
    <t>elowe</t>
  </si>
  <si>
    <t>edwardsjohn</t>
  </si>
  <si>
    <t>sheilawatkins</t>
  </si>
  <si>
    <t>nicholas77</t>
  </si>
  <si>
    <t>alexandermoore</t>
  </si>
  <si>
    <t>william77</t>
  </si>
  <si>
    <t>michelle54</t>
  </si>
  <si>
    <t>quinncaroline</t>
  </si>
  <si>
    <t>hlucas</t>
  </si>
  <si>
    <t>davisdevin</t>
  </si>
  <si>
    <t>tonyachristensen</t>
  </si>
  <si>
    <t>shawna86</t>
  </si>
  <si>
    <t>scott81</t>
  </si>
  <si>
    <t>kellyrichardson</t>
  </si>
  <si>
    <t>jeansmall</t>
  </si>
  <si>
    <t>richard18</t>
  </si>
  <si>
    <t>jayroberts</t>
  </si>
  <si>
    <t>lpowers</t>
  </si>
  <si>
    <t>thomas60</t>
  </si>
  <si>
    <t>zjames</t>
  </si>
  <si>
    <t>zhopkins</t>
  </si>
  <si>
    <t>melissa94</t>
  </si>
  <si>
    <t>pottsdavid</t>
  </si>
  <si>
    <t>zmartin</t>
  </si>
  <si>
    <t>joseph76</t>
  </si>
  <si>
    <t>deannanewman</t>
  </si>
  <si>
    <t>rodriguezkathleen</t>
  </si>
  <si>
    <t>nelsonbrandon</t>
  </si>
  <si>
    <t>wrightjulia</t>
  </si>
  <si>
    <t>zthomas</t>
  </si>
  <si>
    <t>fmay</t>
  </si>
  <si>
    <t>susan69</t>
  </si>
  <si>
    <t>anthony60</t>
  </si>
  <si>
    <t>mercedesyoung</t>
  </si>
  <si>
    <t>tracy64</t>
  </si>
  <si>
    <t>carpenterjohn</t>
  </si>
  <si>
    <t>alexwilson</t>
  </si>
  <si>
    <t>moyerdanny</t>
  </si>
  <si>
    <t>joshuasmith</t>
  </si>
  <si>
    <t>zacharygonzales</t>
  </si>
  <si>
    <t>coxlauren</t>
  </si>
  <si>
    <t>espinozajennifer</t>
  </si>
  <si>
    <t>jackbarnes</t>
  </si>
  <si>
    <t>juanjones</t>
  </si>
  <si>
    <t>georgewarren</t>
  </si>
  <si>
    <t>danieldonaldson</t>
  </si>
  <si>
    <t>wsanders</t>
  </si>
  <si>
    <t>dunnmelissa</t>
  </si>
  <si>
    <t>hporter</t>
  </si>
  <si>
    <t>garciaisabel</t>
  </si>
  <si>
    <t>rsuarez</t>
  </si>
  <si>
    <t>murrayaaron</t>
  </si>
  <si>
    <t>stephen73</t>
  </si>
  <si>
    <t>iadkins</t>
  </si>
  <si>
    <t>smithshawn</t>
  </si>
  <si>
    <t>vanessasmith</t>
  </si>
  <si>
    <t>annaroy</t>
  </si>
  <si>
    <t>dfloyd</t>
  </si>
  <si>
    <t>maryrodriguez</t>
  </si>
  <si>
    <t>tamarafowler</t>
  </si>
  <si>
    <t>nsmith</t>
  </si>
  <si>
    <t>matthew23</t>
  </si>
  <si>
    <t>mmorgan</t>
  </si>
  <si>
    <t>ronaldkennedy</t>
  </si>
  <si>
    <t>megan08</t>
  </si>
  <si>
    <t>kcook</t>
  </si>
  <si>
    <t>donovantrevor</t>
  </si>
  <si>
    <t>melanie33</t>
  </si>
  <si>
    <t>foxdawn</t>
  </si>
  <si>
    <t>walkernathan</t>
  </si>
  <si>
    <t>leslie88</t>
  </si>
  <si>
    <t>brandon14</t>
  </si>
  <si>
    <t>carmenbutler</t>
  </si>
  <si>
    <t>monicaharris</t>
  </si>
  <si>
    <t>john69</t>
  </si>
  <si>
    <t>ryan43</t>
  </si>
  <si>
    <t>jeffreybaker</t>
  </si>
  <si>
    <t>floresnatalie</t>
  </si>
  <si>
    <t>tyler13</t>
  </si>
  <si>
    <t>erictrujillo</t>
  </si>
  <si>
    <t>wanda82</t>
  </si>
  <si>
    <t>raymondjenna</t>
  </si>
  <si>
    <t>cassandrarice</t>
  </si>
  <si>
    <t>browndenise</t>
  </si>
  <si>
    <t>jenniferrollins</t>
  </si>
  <si>
    <t>sbrown</t>
  </si>
  <si>
    <t>kevin42</t>
  </si>
  <si>
    <t>yrichardson</t>
  </si>
  <si>
    <t>yperez</t>
  </si>
  <si>
    <t>rileyjohn</t>
  </si>
  <si>
    <t>smallalice</t>
  </si>
  <si>
    <t>nicole11</t>
  </si>
  <si>
    <t>elizabeth99</t>
  </si>
  <si>
    <t>hornjoshua</t>
  </si>
  <si>
    <t>thomas29</t>
  </si>
  <si>
    <t>davidmendoza</t>
  </si>
  <si>
    <t>jacob24</t>
  </si>
  <si>
    <t>nthompson</t>
  </si>
  <si>
    <t>ogarcia</t>
  </si>
  <si>
    <t>cheyennebenton</t>
  </si>
  <si>
    <t>owenssherry</t>
  </si>
  <si>
    <t>tbarker</t>
  </si>
  <si>
    <t>fmason</t>
  </si>
  <si>
    <t>jameswanda</t>
  </si>
  <si>
    <t>dennis63</t>
  </si>
  <si>
    <t>coreyperez</t>
  </si>
  <si>
    <t>gonzalezcindy</t>
  </si>
  <si>
    <t>millersarah</t>
  </si>
  <si>
    <t>thompsontodd</t>
  </si>
  <si>
    <t>waltersnicholas</t>
  </si>
  <si>
    <t>hharris</t>
  </si>
  <si>
    <t>kristopheralvarez</t>
  </si>
  <si>
    <t>emilyking</t>
  </si>
  <si>
    <t>bobbyanderson</t>
  </si>
  <si>
    <t>erinhansen</t>
  </si>
  <si>
    <t>gerald82</t>
  </si>
  <si>
    <t>jeffreyjimenez</t>
  </si>
  <si>
    <t>lcase</t>
  </si>
  <si>
    <t>jonathan53</t>
  </si>
  <si>
    <t>ethankaufman</t>
  </si>
  <si>
    <t>jessica34</t>
  </si>
  <si>
    <t>newtonjose</t>
  </si>
  <si>
    <t>johnsonjulie</t>
  </si>
  <si>
    <t>justin27</t>
  </si>
  <si>
    <t>jonesjames</t>
  </si>
  <si>
    <t>melissa44</t>
  </si>
  <si>
    <t>jack69</t>
  </si>
  <si>
    <t>maciasronald</t>
  </si>
  <si>
    <t>douglasluke</t>
  </si>
  <si>
    <t>michael88</t>
  </si>
  <si>
    <t>terrychristina</t>
  </si>
  <si>
    <t>smartin</t>
  </si>
  <si>
    <t>davisheather</t>
  </si>
  <si>
    <t>amber18</t>
  </si>
  <si>
    <t>hollyjenkins</t>
  </si>
  <si>
    <t>parkerpatricia</t>
  </si>
  <si>
    <t>kellergregory</t>
  </si>
  <si>
    <t>michellewilliams</t>
  </si>
  <si>
    <t>ericmoore</t>
  </si>
  <si>
    <t>angelaramsey</t>
  </si>
  <si>
    <t>brooke04</t>
  </si>
  <si>
    <t>nicholas09</t>
  </si>
  <si>
    <t>boonekristen</t>
  </si>
  <si>
    <t>udavis</t>
  </si>
  <si>
    <t>jmcknight</t>
  </si>
  <si>
    <t>sarahlawrence</t>
  </si>
  <si>
    <t>hardychristopher</t>
  </si>
  <si>
    <t>sara36</t>
  </si>
  <si>
    <t>leestewart</t>
  </si>
  <si>
    <t>lisacoffey</t>
  </si>
  <si>
    <t>popelance</t>
  </si>
  <si>
    <t>mfarley</t>
  </si>
  <si>
    <t>ruizkimberly</t>
  </si>
  <si>
    <t>andersonwilliam</t>
  </si>
  <si>
    <t>andrewtran</t>
  </si>
  <si>
    <t>lynchtina</t>
  </si>
  <si>
    <t>kelly45</t>
  </si>
  <si>
    <t>morrisryan</t>
  </si>
  <si>
    <t>aryan</t>
  </si>
  <si>
    <t>huntlawrence</t>
  </si>
  <si>
    <t>parkzachary</t>
  </si>
  <si>
    <t>amandarogers</t>
  </si>
  <si>
    <t>bharris</t>
  </si>
  <si>
    <t>rojasjennifer</t>
  </si>
  <si>
    <t>christopher10</t>
  </si>
  <si>
    <t>monique85</t>
  </si>
  <si>
    <t>hhuff</t>
  </si>
  <si>
    <t>caitlingonzales</t>
  </si>
  <si>
    <t>tdavis</t>
  </si>
  <si>
    <t>jessicacisneros</t>
  </si>
  <si>
    <t>shelbyvalencia</t>
  </si>
  <si>
    <t>jonathan22</t>
  </si>
  <si>
    <t>derrickbuck</t>
  </si>
  <si>
    <t>zvargas</t>
  </si>
  <si>
    <t>rsutton</t>
  </si>
  <si>
    <t>olopez</t>
  </si>
  <si>
    <t>carol86</t>
  </si>
  <si>
    <t>lisabarber</t>
  </si>
  <si>
    <t>howardsamantha</t>
  </si>
  <si>
    <t>lance41</t>
  </si>
  <si>
    <t>williamsonkirsten</t>
  </si>
  <si>
    <t>bellraymond</t>
  </si>
  <si>
    <t>steven30</t>
  </si>
  <si>
    <t>hillchristopher</t>
  </si>
  <si>
    <t>ftyler</t>
  </si>
  <si>
    <t>soliskyle</t>
  </si>
  <si>
    <t>angelicawillis</t>
  </si>
  <si>
    <t>aprince</t>
  </si>
  <si>
    <t>dylanblack</t>
  </si>
  <si>
    <t>hoodchristopher</t>
  </si>
  <si>
    <t>sandraclark</t>
  </si>
  <si>
    <t>ffitzpatrick</t>
  </si>
  <si>
    <t>dominiquejohnson</t>
  </si>
  <si>
    <t>sellersgregory</t>
  </si>
  <si>
    <t>armstrongmary</t>
  </si>
  <si>
    <t>barnettdonna</t>
  </si>
  <si>
    <t>melissaphillips</t>
  </si>
  <si>
    <t>hoffmandaniel</t>
  </si>
  <si>
    <t>thomascorey</t>
  </si>
  <si>
    <t>thomas01</t>
  </si>
  <si>
    <t>riddleaaron</t>
  </si>
  <si>
    <t>tdean</t>
  </si>
  <si>
    <t>bruce10</t>
  </si>
  <si>
    <t>annettejackson</t>
  </si>
  <si>
    <t>kingtroy</t>
  </si>
  <si>
    <t>coxanthony</t>
  </si>
  <si>
    <t>paige96</t>
  </si>
  <si>
    <t>sabrina44</t>
  </si>
  <si>
    <t>neilmorrison</t>
  </si>
  <si>
    <t>russochelsey</t>
  </si>
  <si>
    <t>pwright</t>
  </si>
  <si>
    <t>samantha20</t>
  </si>
  <si>
    <t>johnsonandrea</t>
  </si>
  <si>
    <t>nramos</t>
  </si>
  <si>
    <t>pmoore</t>
  </si>
  <si>
    <t>enielsen</t>
  </si>
  <si>
    <t>melissa17</t>
  </si>
  <si>
    <t>jennifer94</t>
  </si>
  <si>
    <t>twashington</t>
  </si>
  <si>
    <t>brian05</t>
  </si>
  <si>
    <t>emilynelson</t>
  </si>
  <si>
    <t>kacosta</t>
  </si>
  <si>
    <t>yvette50</t>
  </si>
  <si>
    <t>lisajames</t>
  </si>
  <si>
    <t>linda22</t>
  </si>
  <si>
    <t>gregbaker</t>
  </si>
  <si>
    <t>sheila89</t>
  </si>
  <si>
    <t>pweaver</t>
  </si>
  <si>
    <t>thomas99</t>
  </si>
  <si>
    <t>victoria39</t>
  </si>
  <si>
    <t>ecooley</t>
  </si>
  <si>
    <t>brenda52</t>
  </si>
  <si>
    <t>zmendoza</t>
  </si>
  <si>
    <t>jamesbarber</t>
  </si>
  <si>
    <t>caitlinmiller</t>
  </si>
  <si>
    <t>davidhunt</t>
  </si>
  <si>
    <t>fsteele</t>
  </si>
  <si>
    <t>keithunderwood</t>
  </si>
  <si>
    <t>hernandezcatherine</t>
  </si>
  <si>
    <t>bherrera</t>
  </si>
  <si>
    <t>chendavid</t>
  </si>
  <si>
    <t>rware</t>
  </si>
  <si>
    <t>gloriajohnson</t>
  </si>
  <si>
    <t>allenvictor</t>
  </si>
  <si>
    <t>sheiladavis</t>
  </si>
  <si>
    <t>tgill</t>
  </si>
  <si>
    <t>lindagalloway</t>
  </si>
  <si>
    <t>jbriggs</t>
  </si>
  <si>
    <t>danielleonard</t>
  </si>
  <si>
    <t>ramirezandrea</t>
  </si>
  <si>
    <t>jeffreyjohnson</t>
  </si>
  <si>
    <t>dannyforbes</t>
  </si>
  <si>
    <t>wallacedebra</t>
  </si>
  <si>
    <t>jennifersmith</t>
  </si>
  <si>
    <t>steven19</t>
  </si>
  <si>
    <t>jacob95</t>
  </si>
  <si>
    <t>mlewis</t>
  </si>
  <si>
    <t>charles59</t>
  </si>
  <si>
    <t>kgonzalez</t>
  </si>
  <si>
    <t>marcus01</t>
  </si>
  <si>
    <t>leonwells</t>
  </si>
  <si>
    <t>erika85</t>
  </si>
  <si>
    <t>jonathonmayer</t>
  </si>
  <si>
    <t>nicholas43</t>
  </si>
  <si>
    <t>paula25</t>
  </si>
  <si>
    <t>smithcarrie</t>
  </si>
  <si>
    <t>valenzuelakim</t>
  </si>
  <si>
    <t>adamsbarbara</t>
  </si>
  <si>
    <t>cathy10</t>
  </si>
  <si>
    <t>rogersmary</t>
  </si>
  <si>
    <t>georgejones</t>
  </si>
  <si>
    <t>donna27</t>
  </si>
  <si>
    <t>jhayes</t>
  </si>
  <si>
    <t>neallisa</t>
  </si>
  <si>
    <t>evanskristen</t>
  </si>
  <si>
    <t>bhenson</t>
  </si>
  <si>
    <t>hgardner</t>
  </si>
  <si>
    <t>mckinneychristopher</t>
  </si>
  <si>
    <t>elizabeth71</t>
  </si>
  <si>
    <t>ilambert</t>
  </si>
  <si>
    <t>millerdonald</t>
  </si>
  <si>
    <t>krogers</t>
  </si>
  <si>
    <t>scott72</t>
  </si>
  <si>
    <t>simsalexis</t>
  </si>
  <si>
    <t>kingsandra</t>
  </si>
  <si>
    <t>april12</t>
  </si>
  <si>
    <t>turnersusan</t>
  </si>
  <si>
    <t>kenneth92</t>
  </si>
  <si>
    <t>victoria57</t>
  </si>
  <si>
    <t>fnolan</t>
  </si>
  <si>
    <t>BattleZone</t>
  </si>
  <si>
    <t>Zombie Rush</t>
  </si>
  <si>
    <t>SpeedX</t>
  </si>
  <si>
    <t>Clash of Realms</t>
  </si>
  <si>
    <t>Empire Wars</t>
  </si>
  <si>
    <t>Console</t>
  </si>
  <si>
    <t>Mobile</t>
  </si>
  <si>
    <t>PC</t>
  </si>
  <si>
    <t>East</t>
  </si>
  <si>
    <t>Central</t>
  </si>
  <si>
    <t>North</t>
  </si>
  <si>
    <t>North-East</t>
  </si>
  <si>
    <t>South</t>
  </si>
  <si>
    <t>West</t>
  </si>
  <si>
    <t>None</t>
  </si>
  <si>
    <t>Boosters</t>
  </si>
  <si>
    <t>Subscriptions</t>
  </si>
  <si>
    <t>Battle Pass</t>
  </si>
  <si>
    <t>Skins</t>
  </si>
  <si>
    <t>Completed</t>
  </si>
  <si>
    <t>Crashed</t>
  </si>
  <si>
    <t>Exited Early</t>
  </si>
  <si>
    <t>Incomplete</t>
  </si>
  <si>
    <t>Free</t>
  </si>
  <si>
    <t>Paid</t>
  </si>
  <si>
    <t>Yes</t>
  </si>
  <si>
    <t>No</t>
  </si>
  <si>
    <t>Year</t>
  </si>
  <si>
    <t>Month</t>
  </si>
  <si>
    <t>Row Labels</t>
  </si>
  <si>
    <t>Grand Total</t>
  </si>
  <si>
    <t>Sum of In-Game Purchase ($)</t>
  </si>
  <si>
    <t>ARPU</t>
  </si>
  <si>
    <t>SuccessFlag</t>
  </si>
  <si>
    <t>Average of SuccessFlag</t>
  </si>
  <si>
    <t>Suspicious Flag</t>
  </si>
  <si>
    <t>Average of Session Duration (min)</t>
  </si>
  <si>
    <t>Count of Session ID</t>
  </si>
  <si>
    <t>2024</t>
  </si>
  <si>
    <t>Dec</t>
  </si>
  <si>
    <t>2025</t>
  </si>
  <si>
    <t>Jan</t>
  </si>
  <si>
    <t>Feb</t>
  </si>
  <si>
    <t>Mar</t>
  </si>
  <si>
    <t>Apr</t>
  </si>
  <si>
    <t>May</t>
  </si>
  <si>
    <t>Jun</t>
  </si>
  <si>
    <t>Count of Suspicious Flag</t>
  </si>
  <si>
    <t>Normal</t>
  </si>
  <si>
    <t>Suspicious</t>
  </si>
  <si>
    <t xml:space="preserve"> 🎮 GAMING ANALYTICS DASHBOARD</t>
  </si>
  <si>
    <t>Year-Month</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</si>
</sst>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20"/>
      <color theme="3"/>
      <name val="Calibri"/>
      <family val="2"/>
      <scheme val="minor"/>
    </font>
    <font>
      <sz val="11"/>
      <color theme="3"/>
      <name val="Calibri"/>
      <family val="2"/>
      <scheme val="minor"/>
    </font>
    <font>
      <b/>
      <sz val="20"/>
      <color theme="0"/>
      <name val="Calibri"/>
      <family val="2"/>
      <scheme val="minor"/>
    </font>
  </fonts>
  <fills count="3">
    <fill>
      <patternFill patternType="none"/>
    </fill>
    <fill>
      <patternFill patternType="gray125"/>
    </fill>
    <fill>
      <patternFill patternType="solid">
        <fgColor rgb="FF7030A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14" fontId="1" fillId="0" borderId="1" xfId="0" applyNumberFormat="1" applyFont="1" applyBorder="1" applyAlignment="1">
      <alignment horizontal="center" vertical="top"/>
    </xf>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0" fontId="0" fillId="0" borderId="0" xfId="0" applyAlignment="1">
      <alignment horizontal="left" indent="2"/>
    </xf>
    <xf numFmtId="14" fontId="0" fillId="0" borderId="0" xfId="0" applyNumberFormat="1" applyAlignment="1">
      <alignment horizontal="left" indent="1"/>
    </xf>
    <xf numFmtId="0" fontId="1" fillId="0" borderId="3" xfId="0" applyFont="1" applyFill="1" applyBorder="1" applyAlignment="1">
      <alignment horizontal="center" vertical="top"/>
    </xf>
    <xf numFmtId="0" fontId="2" fillId="2" borderId="0" xfId="0" applyFont="1" applyFill="1" applyAlignment="1">
      <alignment horizontal="center" vertical="center"/>
    </xf>
    <xf numFmtId="0" fontId="3" fillId="2" borderId="0" xfId="0" applyFont="1" applyFill="1"/>
    <xf numFmtId="0" fontId="4" fillId="2" borderId="0" xfId="0" applyFont="1" applyFill="1" applyAlignment="1">
      <alignment horizontal="center" vertical="center"/>
    </xf>
  </cellXfs>
  <cellStyles count="1">
    <cellStyle name="Normal" xfId="0" builtinId="0"/>
  </cellStyles>
  <dxfs count="15">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9" defaultPivotStyle="PivotStyleLight16"/>
  <colors>
    <mruColors>
      <color rgb="FFEC85EF"/>
      <color rgb="FF4CD8BA"/>
      <color rgb="FF96E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[Gaming_Dashboard.xlsx]Pivot Table!PivotTable1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Regional Gameplay Volume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Table'!$G$12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Table'!$F$13:$F$19</c:f>
              <c:strCache>
                <c:ptCount val="6"/>
                <c:pt idx="0">
                  <c:v>Central</c:v>
                </c:pt>
                <c:pt idx="1">
                  <c:v>East</c:v>
                </c:pt>
                <c:pt idx="2">
                  <c:v>North</c:v>
                </c:pt>
                <c:pt idx="3">
                  <c:v>North-East</c:v>
                </c:pt>
                <c:pt idx="4">
                  <c:v>South</c:v>
                </c:pt>
                <c:pt idx="5">
                  <c:v>West</c:v>
                </c:pt>
              </c:strCache>
            </c:strRef>
          </c:cat>
          <c:val>
            <c:numRef>
              <c:f>'Pivot Table'!$G$13:$G$19</c:f>
              <c:numCache>
                <c:formatCode>General</c:formatCode>
                <c:ptCount val="6"/>
                <c:pt idx="0">
                  <c:v>75</c:v>
                </c:pt>
                <c:pt idx="1">
                  <c:v>80</c:v>
                </c:pt>
                <c:pt idx="2">
                  <c:v>96</c:v>
                </c:pt>
                <c:pt idx="3">
                  <c:v>76</c:v>
                </c:pt>
                <c:pt idx="4">
                  <c:v>80</c:v>
                </c:pt>
                <c:pt idx="5">
                  <c:v>93</c:v>
                </c:pt>
              </c:numCache>
            </c:numRef>
          </c:val>
        </c:ser>
        <c:dLbls>
          <c:dLblPos val="inEnd"/>
          <c:showLegendKey val="0"/>
          <c:showVal val="1"/>
          <c:showCatName val="0"/>
          <c:showSerName val="0"/>
          <c:showPercent val="0"/>
          <c:showBubbleSize val="0"/>
        </c:dLbls>
        <c:gapWidth val="65"/>
        <c:axId val="353671336"/>
        <c:axId val="353671720"/>
      </c:barChart>
      <c:catAx>
        <c:axId val="3536713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3671720"/>
        <c:crosses val="autoZero"/>
        <c:auto val="1"/>
        <c:lblAlgn val="ctr"/>
        <c:lblOffset val="100"/>
        <c:noMultiLvlLbl val="0"/>
      </c:catAx>
      <c:valAx>
        <c:axId val="3536717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367133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[Gaming_Dashboard.xlsx]Pivot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Sessions &amp; Purchases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Table'!$G$21</c:f>
              <c:strCache>
                <c:ptCount val="1"/>
                <c:pt idx="0">
                  <c:v>Count of Session ID</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multiLvlStrRef>
              <c:f>'Pivot Table'!$F$22:$F$31</c:f>
              <c:multiLvlStrCache>
                <c:ptCount val="7"/>
                <c:lvl>
                  <c:pt idx="0">
                    <c:v>Dec</c:v>
                  </c:pt>
                  <c:pt idx="1">
                    <c:v>Jan</c:v>
                  </c:pt>
                  <c:pt idx="2">
                    <c:v>Feb</c:v>
                  </c:pt>
                  <c:pt idx="3">
                    <c:v>Mar</c:v>
                  </c:pt>
                  <c:pt idx="4">
                    <c:v>Apr</c:v>
                  </c:pt>
                  <c:pt idx="5">
                    <c:v>May</c:v>
                  </c:pt>
                  <c:pt idx="6">
                    <c:v>Jun</c:v>
                  </c:pt>
                </c:lvl>
                <c:lvl>
                  <c:pt idx="0">
                    <c:v>2024</c:v>
                  </c:pt>
                  <c:pt idx="1">
                    <c:v>2025</c:v>
                  </c:pt>
                </c:lvl>
              </c:multiLvlStrCache>
            </c:multiLvlStrRef>
          </c:cat>
          <c:val>
            <c:numRef>
              <c:f>'Pivot Table'!$G$22:$G$31</c:f>
              <c:numCache>
                <c:formatCode>General</c:formatCode>
                <c:ptCount val="7"/>
                <c:pt idx="0">
                  <c:v>48</c:v>
                </c:pt>
                <c:pt idx="1">
                  <c:v>95</c:v>
                </c:pt>
                <c:pt idx="2">
                  <c:v>77</c:v>
                </c:pt>
                <c:pt idx="3">
                  <c:v>67</c:v>
                </c:pt>
                <c:pt idx="4">
                  <c:v>76</c:v>
                </c:pt>
                <c:pt idx="5">
                  <c:v>101</c:v>
                </c:pt>
                <c:pt idx="6">
                  <c:v>36</c:v>
                </c:pt>
              </c:numCache>
            </c:numRef>
          </c:val>
          <c:smooth val="0"/>
        </c:ser>
        <c:ser>
          <c:idx val="1"/>
          <c:order val="1"/>
          <c:tx>
            <c:strRef>
              <c:f>'Pivot Table'!$H$21</c:f>
              <c:strCache>
                <c:ptCount val="1"/>
                <c:pt idx="0">
                  <c:v>Sum of In-Game Purchase ($)</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multiLvlStrRef>
              <c:f>'Pivot Table'!$F$22:$F$31</c:f>
              <c:multiLvlStrCache>
                <c:ptCount val="7"/>
                <c:lvl>
                  <c:pt idx="0">
                    <c:v>Dec</c:v>
                  </c:pt>
                  <c:pt idx="1">
                    <c:v>Jan</c:v>
                  </c:pt>
                  <c:pt idx="2">
                    <c:v>Feb</c:v>
                  </c:pt>
                  <c:pt idx="3">
                    <c:v>Mar</c:v>
                  </c:pt>
                  <c:pt idx="4">
                    <c:v>Apr</c:v>
                  </c:pt>
                  <c:pt idx="5">
                    <c:v>May</c:v>
                  </c:pt>
                  <c:pt idx="6">
                    <c:v>Jun</c:v>
                  </c:pt>
                </c:lvl>
                <c:lvl>
                  <c:pt idx="0">
                    <c:v>2024</c:v>
                  </c:pt>
                  <c:pt idx="1">
                    <c:v>2025</c:v>
                  </c:pt>
                </c:lvl>
              </c:multiLvlStrCache>
            </c:multiLvlStrRef>
          </c:cat>
          <c:val>
            <c:numRef>
              <c:f>'Pivot Table'!$H$22:$H$31</c:f>
              <c:numCache>
                <c:formatCode>General</c:formatCode>
                <c:ptCount val="7"/>
                <c:pt idx="0">
                  <c:v>167.15</c:v>
                </c:pt>
                <c:pt idx="1">
                  <c:v>336.85999999999996</c:v>
                </c:pt>
                <c:pt idx="2">
                  <c:v>586.92999999999995</c:v>
                </c:pt>
                <c:pt idx="3">
                  <c:v>361.03999999999996</c:v>
                </c:pt>
                <c:pt idx="4">
                  <c:v>459.5</c:v>
                </c:pt>
                <c:pt idx="5">
                  <c:v>590.19999999999993</c:v>
                </c:pt>
                <c:pt idx="6">
                  <c:v>129.59</c:v>
                </c:pt>
              </c:numCache>
            </c:numRef>
          </c:val>
          <c:smooth val="0"/>
        </c:ser>
        <c:dLbls>
          <c:dLblPos val="ctr"/>
          <c:showLegendKey val="0"/>
          <c:showVal val="1"/>
          <c:showCatName val="0"/>
          <c:showSerName val="0"/>
          <c:showPercent val="0"/>
          <c:showBubbleSize val="0"/>
        </c:dLbls>
        <c:marker val="1"/>
        <c:smooth val="0"/>
        <c:axId val="353100160"/>
        <c:axId val="353100544"/>
      </c:lineChart>
      <c:catAx>
        <c:axId val="353100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3100544"/>
        <c:crosses val="autoZero"/>
        <c:auto val="1"/>
        <c:lblAlgn val="ctr"/>
        <c:lblOffset val="100"/>
        <c:noMultiLvlLbl val="0"/>
      </c:catAx>
      <c:valAx>
        <c:axId val="353100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5310016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[Gaming_Dashboard.xlsx]Pivot Table!PivotTable5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Platform Usage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1"/>
        <c:spPr>
          <a:solidFill>
            <a:schemeClr val="accent2"/>
          </a:solidFill>
          <a:ln>
            <a:noFill/>
          </a:ln>
          <a:effectLst>
            <a:outerShdw blurRad="254000" sx="102000" sy="102000" algn="ctr" rotWithShape="0">
              <a:prstClr val="black">
                <a:alpha val="20000"/>
              </a:prstClr>
            </a:outerShdw>
          </a:effectLst>
        </c:spPr>
        <c:dLbl>
          <c:idx val="0"/>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CA559CA-6742-4027-89A6-A1F67B0A806B}" type="CATEGORYNAME">
                  <a:rPr lang="en-US"/>
                  <a:pPr>
                    <a:defRPr/>
                  </a:pPr>
                  <a:t>[CATEGORY NAME]</a:t>
                </a:fld>
                <a:r>
                  <a:rPr lang="en-US"/>
                  <a:t>
</a:t>
                </a:r>
                <a:fld id="{B7042B0A-BC67-4133-8784-B511DA82EC1F}" type="PERCENTAGE">
                  <a:rPr lang="en-US"/>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15:dlblFieldTable/>
              <c15:showDataLabelsRange val="0"/>
            </c:ext>
          </c:extLst>
        </c:dLbl>
      </c:pivotFmt>
      <c:pivotFmt>
        <c:idx val="12"/>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s>
    <c:plotArea>
      <c:layout/>
      <c:doughnutChart>
        <c:varyColors val="1"/>
        <c:ser>
          <c:idx val="0"/>
          <c:order val="0"/>
          <c:tx>
            <c:strRef>
              <c:f>'Pivot Table'!$G$34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dLbl>
              <c:idx val="1"/>
              <c:layout/>
              <c:tx>
                <c:rich>
                  <a:bodyPr/>
                  <a:lstStyle/>
                  <a:p>
                    <a:fld id="{FCA559CA-6742-4027-89A6-A1F67B0A806B}" type="CATEGORYNAME">
                      <a:rPr lang="en-US"/>
                      <a:pPr/>
                      <a:t>[CATEGORY NAME]</a:t>
                    </a:fld>
                    <a:r>
                      <a:rPr lang="en-US"/>
                      <a:t>
</a:t>
                    </a:r>
                    <a:fld id="{B7042B0A-BC67-4133-8784-B511DA82EC1F}"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15:dlblFieldTable/>
                  <c15:showDataLabelsRange val="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Table'!$F$35:$F$38</c:f>
              <c:strCache>
                <c:ptCount val="3"/>
                <c:pt idx="0">
                  <c:v>Console</c:v>
                </c:pt>
                <c:pt idx="1">
                  <c:v>Mobile</c:v>
                </c:pt>
                <c:pt idx="2">
                  <c:v>PC</c:v>
                </c:pt>
              </c:strCache>
            </c:strRef>
          </c:cat>
          <c:val>
            <c:numRef>
              <c:f>'Pivot Table'!$G$35:$G$38</c:f>
              <c:numCache>
                <c:formatCode>General</c:formatCode>
                <c:ptCount val="3"/>
                <c:pt idx="0">
                  <c:v>172</c:v>
                </c:pt>
                <c:pt idx="1">
                  <c:v>167</c:v>
                </c:pt>
                <c:pt idx="2">
                  <c:v>161</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[Gaming_Dashboard.xlsx]Pivot Table!PivotTable6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Suspicious Sessions by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Table'!$G$41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multiLvlStrRef>
              <c:f>'Pivot Table'!$F$42:$F$60</c:f>
              <c:multiLvlStrCache>
                <c:ptCount val="12"/>
                <c:lvl>
                  <c:pt idx="0">
                    <c:v>Normal</c:v>
                  </c:pt>
                  <c:pt idx="1">
                    <c:v>Suspicious</c:v>
                  </c:pt>
                  <c:pt idx="2">
                    <c:v>Normal</c:v>
                  </c:pt>
                  <c:pt idx="3">
                    <c:v>Suspicious</c:v>
                  </c:pt>
                  <c:pt idx="4">
                    <c:v>Normal</c:v>
                  </c:pt>
                  <c:pt idx="5">
                    <c:v>Suspicious</c:v>
                  </c:pt>
                  <c:pt idx="6">
                    <c:v>Normal</c:v>
                  </c:pt>
                  <c:pt idx="7">
                    <c:v>Suspicious</c:v>
                  </c:pt>
                  <c:pt idx="8">
                    <c:v>Normal</c:v>
                  </c:pt>
                  <c:pt idx="9">
                    <c:v>Suspicious</c:v>
                  </c:pt>
                  <c:pt idx="10">
                    <c:v>Normal</c:v>
                  </c:pt>
                  <c:pt idx="11">
                    <c:v>Suspicious</c:v>
                  </c:pt>
                </c:lvl>
                <c:lvl>
                  <c:pt idx="0">
                    <c:v>Central</c:v>
                  </c:pt>
                  <c:pt idx="2">
                    <c:v>East</c:v>
                  </c:pt>
                  <c:pt idx="4">
                    <c:v>North</c:v>
                  </c:pt>
                  <c:pt idx="6">
                    <c:v>North-East</c:v>
                  </c:pt>
                  <c:pt idx="8">
                    <c:v>South</c:v>
                  </c:pt>
                  <c:pt idx="10">
                    <c:v>West</c:v>
                  </c:pt>
                </c:lvl>
              </c:multiLvlStrCache>
            </c:multiLvlStrRef>
          </c:cat>
          <c:val>
            <c:numRef>
              <c:f>'Pivot Table'!$G$42:$G$60</c:f>
              <c:numCache>
                <c:formatCode>General</c:formatCode>
                <c:ptCount val="12"/>
                <c:pt idx="0">
                  <c:v>74</c:v>
                </c:pt>
                <c:pt idx="1">
                  <c:v>1</c:v>
                </c:pt>
                <c:pt idx="2">
                  <c:v>72</c:v>
                </c:pt>
                <c:pt idx="3">
                  <c:v>8</c:v>
                </c:pt>
                <c:pt idx="4">
                  <c:v>93</c:v>
                </c:pt>
                <c:pt idx="5">
                  <c:v>3</c:v>
                </c:pt>
                <c:pt idx="6">
                  <c:v>72</c:v>
                </c:pt>
                <c:pt idx="7">
                  <c:v>4</c:v>
                </c:pt>
                <c:pt idx="8">
                  <c:v>76</c:v>
                </c:pt>
                <c:pt idx="9">
                  <c:v>4</c:v>
                </c:pt>
                <c:pt idx="10">
                  <c:v>90</c:v>
                </c:pt>
                <c:pt idx="11">
                  <c:v>3</c:v>
                </c:pt>
              </c:numCache>
            </c:numRef>
          </c:val>
        </c:ser>
        <c:dLbls>
          <c:dLblPos val="ctr"/>
          <c:showLegendKey val="0"/>
          <c:showVal val="1"/>
          <c:showCatName val="0"/>
          <c:showSerName val="0"/>
          <c:showPercent val="0"/>
          <c:showBubbleSize val="0"/>
        </c:dLbls>
        <c:gapWidth val="150"/>
        <c:overlap val="100"/>
        <c:axId val="353286760"/>
        <c:axId val="353287144"/>
      </c:barChart>
      <c:catAx>
        <c:axId val="3532867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3287144"/>
        <c:crosses val="autoZero"/>
        <c:auto val="1"/>
        <c:lblAlgn val="ctr"/>
        <c:lblOffset val="100"/>
        <c:noMultiLvlLbl val="0"/>
      </c:catAx>
      <c:valAx>
        <c:axId val="35328714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5328676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[Gaming_Dashboard.xlsx]Pivot Table!PivotTable7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Session Status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Table'!$G$64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Table'!$F$65:$F$69</c:f>
              <c:strCache>
                <c:ptCount val="4"/>
                <c:pt idx="0">
                  <c:v>Completed</c:v>
                </c:pt>
                <c:pt idx="1">
                  <c:v>Crashed</c:v>
                </c:pt>
                <c:pt idx="2">
                  <c:v>Exited Early</c:v>
                </c:pt>
                <c:pt idx="3">
                  <c:v>Incomplete</c:v>
                </c:pt>
              </c:strCache>
            </c:strRef>
          </c:cat>
          <c:val>
            <c:numRef>
              <c:f>'Pivot Table'!$G$65:$G$69</c:f>
              <c:numCache>
                <c:formatCode>General</c:formatCode>
                <c:ptCount val="4"/>
                <c:pt idx="0">
                  <c:v>360</c:v>
                </c:pt>
                <c:pt idx="1">
                  <c:v>43</c:v>
                </c:pt>
                <c:pt idx="2">
                  <c:v>52</c:v>
                </c:pt>
                <c:pt idx="3">
                  <c:v>45</c:v>
                </c:pt>
              </c:numCache>
            </c:numRef>
          </c:val>
        </c:ser>
        <c:dLbls>
          <c:dLblPos val="inEnd"/>
          <c:showLegendKey val="0"/>
          <c:showVal val="1"/>
          <c:showCatName val="0"/>
          <c:showSerName val="0"/>
          <c:showPercent val="0"/>
          <c:showBubbleSize val="0"/>
        </c:dLbls>
        <c:gapWidth val="65"/>
        <c:axId val="354205248"/>
        <c:axId val="353304696"/>
      </c:barChart>
      <c:catAx>
        <c:axId val="3542052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3304696"/>
        <c:crosses val="autoZero"/>
        <c:auto val="1"/>
        <c:lblAlgn val="ctr"/>
        <c:lblOffset val="100"/>
        <c:noMultiLvlLbl val="0"/>
      </c:catAx>
      <c:valAx>
        <c:axId val="3533046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542052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316127</xdr:colOff>
      <xdr:row>4</xdr:row>
      <xdr:rowOff>78450</xdr:rowOff>
    </xdr:from>
    <xdr:to>
      <xdr:col>3</xdr:col>
      <xdr:colOff>316127</xdr:colOff>
      <xdr:row>15</xdr:row>
      <xdr:rowOff>11123</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6127" y="1254376"/>
              <a:ext cx="1834444" cy="2002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328782</xdr:colOff>
      <xdr:row>18</xdr:row>
      <xdr:rowOff>148867</xdr:rowOff>
    </xdr:from>
    <xdr:to>
      <xdr:col>10</xdr:col>
      <xdr:colOff>148166</xdr:colOff>
      <xdr:row>35</xdr:row>
      <xdr:rowOff>63500</xdr:rowOff>
    </xdr:to>
    <xdr:graphicFrame macro="">
      <xdr:nvGraphicFramePr>
        <xdr:cNvPr id="9" name="Chart 8" title="Regional Gameplay Volum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350203</xdr:colOff>
      <xdr:row>37</xdr:row>
      <xdr:rowOff>164876</xdr:rowOff>
    </xdr:from>
    <xdr:to>
      <xdr:col>10</xdr:col>
      <xdr:colOff>126999</xdr:colOff>
      <xdr:row>52</xdr:row>
      <xdr:rowOff>84666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610717</xdr:colOff>
      <xdr:row>18</xdr:row>
      <xdr:rowOff>161477</xdr:rowOff>
    </xdr:from>
    <xdr:to>
      <xdr:col>20</xdr:col>
      <xdr:colOff>423333</xdr:colOff>
      <xdr:row>34</xdr:row>
      <xdr:rowOff>158750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338667</xdr:colOff>
      <xdr:row>55</xdr:row>
      <xdr:rowOff>120488</xdr:rowOff>
    </xdr:from>
    <xdr:to>
      <xdr:col>20</xdr:col>
      <xdr:colOff>433916</xdr:colOff>
      <xdr:row>70</xdr:row>
      <xdr:rowOff>106485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52916</xdr:colOff>
      <xdr:row>38</xdr:row>
      <xdr:rowOff>31749</xdr:rowOff>
    </xdr:from>
    <xdr:to>
      <xdr:col>20</xdr:col>
      <xdr:colOff>486833</xdr:colOff>
      <xdr:row>52</xdr:row>
      <xdr:rowOff>74082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316127</xdr:colOff>
      <xdr:row>4</xdr:row>
      <xdr:rowOff>89034</xdr:rowOff>
    </xdr:from>
    <xdr:to>
      <xdr:col>3</xdr:col>
      <xdr:colOff>303427</xdr:colOff>
      <xdr:row>15</xdr:row>
      <xdr:rowOff>31751</xdr:rowOff>
    </xdr:to>
    <mc:AlternateContent xmlns:mc="http://schemas.openxmlformats.org/markup-compatibility/2006">
      <mc:Choice xmlns:a14="http://schemas.microsoft.com/office/drawing/2010/main" Requires="a14">
        <xdr:graphicFrame macro="">
          <xdr:nvGraphicFramePr>
            <xdr:cNvPr id="1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16127" y="1256061"/>
              <a:ext cx="1840814" cy="2019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213035</xdr:colOff>
      <xdr:row>4</xdr:row>
      <xdr:rowOff>68791</xdr:rowOff>
    </xdr:from>
    <xdr:to>
      <xdr:col>10</xdr:col>
      <xdr:colOff>200335</xdr:colOff>
      <xdr:row>15</xdr:row>
      <xdr:rowOff>21167</xdr:rowOff>
    </xdr:to>
    <mc:AlternateContent xmlns:mc="http://schemas.openxmlformats.org/markup-compatibility/2006">
      <mc:Choice xmlns:a14="http://schemas.microsoft.com/office/drawing/2010/main" Requires="a14">
        <xdr:graphicFrame macro="">
          <xdr:nvGraphicFramePr>
            <xdr:cNvPr id="16" name="Game Name 1"/>
            <xdr:cNvGraphicFramePr/>
          </xdr:nvGraphicFramePr>
          <xdr:xfrm>
            <a:off x="0" y="0"/>
            <a:ext cx="0" cy="0"/>
          </xdr:xfrm>
          <a:graphic>
            <a:graphicData uri="http://schemas.microsoft.com/office/drawing/2010/slicer">
              <sle:slicer xmlns:sle="http://schemas.microsoft.com/office/drawing/2010/slicer" name="Game Name 1"/>
            </a:graphicData>
          </a:graphic>
        </xdr:graphicFrame>
      </mc:Choice>
      <mc:Fallback>
        <xdr:sp macro="" textlink="">
          <xdr:nvSpPr>
            <xdr:cNvPr id="0" name=""/>
            <xdr:cNvSpPr>
              <a:spLocks noTextEdit="1"/>
            </xdr:cNvSpPr>
          </xdr:nvSpPr>
          <xdr:spPr>
            <a:xfrm>
              <a:off x="4537900" y="1235818"/>
              <a:ext cx="1840813" cy="2028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22535</xdr:colOff>
      <xdr:row>4</xdr:row>
      <xdr:rowOff>68793</xdr:rowOff>
    </xdr:from>
    <xdr:to>
      <xdr:col>7</xdr:col>
      <xdr:colOff>9835</xdr:colOff>
      <xdr:row>15</xdr:row>
      <xdr:rowOff>42333</xdr:rowOff>
    </xdr:to>
    <mc:AlternateContent xmlns:mc="http://schemas.openxmlformats.org/markup-compatibility/2006">
      <mc:Choice xmlns:a14="http://schemas.microsoft.com/office/drawing/2010/main" Requires="a14">
        <xdr:graphicFrame macro="">
          <xdr:nvGraphicFramePr>
            <xdr:cNvPr id="17" name="Platform 1"/>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2493886" y="1235820"/>
              <a:ext cx="1840814" cy="2050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551700</xdr:colOff>
      <xdr:row>4</xdr:row>
      <xdr:rowOff>68791</xdr:rowOff>
    </xdr:from>
    <xdr:to>
      <xdr:col>13</xdr:col>
      <xdr:colOff>539000</xdr:colOff>
      <xdr:row>15</xdr:row>
      <xdr:rowOff>21167</xdr:rowOff>
    </xdr:to>
    <mc:AlternateContent xmlns:mc="http://schemas.openxmlformats.org/markup-compatibility/2006">
      <mc:Choice xmlns:a14="http://schemas.microsoft.com/office/drawing/2010/main" Requires="a14">
        <xdr:graphicFrame macro="">
          <xdr:nvGraphicFramePr>
            <xdr:cNvPr id="18" name="Purchase Type 1"/>
            <xdr:cNvGraphicFramePr/>
          </xdr:nvGraphicFramePr>
          <xdr:xfrm>
            <a:off x="0" y="0"/>
            <a:ext cx="0" cy="0"/>
          </xdr:xfrm>
          <a:graphic>
            <a:graphicData uri="http://schemas.microsoft.com/office/drawing/2010/slicer">
              <sle:slicer xmlns:sle="http://schemas.microsoft.com/office/drawing/2010/slicer" name="Purchase Type 1"/>
            </a:graphicData>
          </a:graphic>
        </xdr:graphicFrame>
      </mc:Choice>
      <mc:Fallback>
        <xdr:sp macro="" textlink="">
          <xdr:nvSpPr>
            <xdr:cNvPr id="0" name=""/>
            <xdr:cNvSpPr>
              <a:spLocks noTextEdit="1"/>
            </xdr:cNvSpPr>
          </xdr:nvSpPr>
          <xdr:spPr>
            <a:xfrm>
              <a:off x="6730078" y="1235818"/>
              <a:ext cx="1840814" cy="2028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181284</xdr:colOff>
      <xdr:row>4</xdr:row>
      <xdr:rowOff>68793</xdr:rowOff>
    </xdr:from>
    <xdr:to>
      <xdr:col>17</xdr:col>
      <xdr:colOff>168584</xdr:colOff>
      <xdr:row>14</xdr:row>
      <xdr:rowOff>169335</xdr:rowOff>
    </xdr:to>
    <mc:AlternateContent xmlns:mc="http://schemas.openxmlformats.org/markup-compatibility/2006">
      <mc:Choice xmlns:a14="http://schemas.microsoft.com/office/drawing/2010/main" Requires="a14">
        <xdr:graphicFrame macro="">
          <xdr:nvGraphicFramePr>
            <xdr:cNvPr id="19" name="Player Type 1"/>
            <xdr:cNvGraphicFramePr/>
          </xdr:nvGraphicFramePr>
          <xdr:xfrm>
            <a:off x="0" y="0"/>
            <a:ext cx="0" cy="0"/>
          </xdr:xfrm>
          <a:graphic>
            <a:graphicData uri="http://schemas.microsoft.com/office/drawing/2010/slicer">
              <sle:slicer xmlns:sle="http://schemas.microsoft.com/office/drawing/2010/slicer" name="Player Type 1"/>
            </a:graphicData>
          </a:graphic>
        </xdr:graphicFrame>
      </mc:Choice>
      <mc:Fallback>
        <xdr:sp macro="" textlink="">
          <xdr:nvSpPr>
            <xdr:cNvPr id="0" name=""/>
            <xdr:cNvSpPr>
              <a:spLocks noTextEdit="1"/>
            </xdr:cNvSpPr>
          </xdr:nvSpPr>
          <xdr:spPr>
            <a:xfrm>
              <a:off x="8831014" y="1235820"/>
              <a:ext cx="1840813" cy="198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361200</xdr:colOff>
      <xdr:row>4</xdr:row>
      <xdr:rowOff>68793</xdr:rowOff>
    </xdr:from>
    <xdr:to>
      <xdr:col>20</xdr:col>
      <xdr:colOff>348500</xdr:colOff>
      <xdr:row>15</xdr:row>
      <xdr:rowOff>10584</xdr:rowOff>
    </xdr:to>
    <mc:AlternateContent xmlns:mc="http://schemas.openxmlformats.org/markup-compatibility/2006">
      <mc:Choice xmlns:a14="http://schemas.microsoft.com/office/drawing/2010/main" Requires="a14">
        <xdr:graphicFrame macro="">
          <xdr:nvGraphicFramePr>
            <xdr:cNvPr id="20"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0864443" y="1235820"/>
              <a:ext cx="1840814" cy="2018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295.967691319442" createdVersion="5" refreshedVersion="5" minRefreshableVersion="3" recordCount="500">
  <cacheSource type="worksheet">
    <worksheetSource ref="A1:S501" sheet="Dataset"/>
  </cacheSource>
  <cacheFields count="20">
    <cacheField name="Session ID" numFmtId="0">
      <sharedItems/>
    </cacheField>
    <cacheField name="Player ID" numFmtId="0">
      <sharedItems/>
    </cacheField>
    <cacheField name="Player Name" numFmtId="0">
      <sharedItems/>
    </cacheField>
    <cacheField name="Game Name" numFmtId="0">
      <sharedItems count="5">
        <s v="BattleZone"/>
        <s v="Zombie Rush"/>
        <s v="SpeedX"/>
        <s v="Clash of Realms"/>
        <s v="Empire Wars"/>
      </sharedItems>
    </cacheField>
    <cacheField name="Platform" numFmtId="49">
      <sharedItems count="3">
        <s v="Console"/>
        <s v="Mobile"/>
        <s v="PC"/>
      </sharedItems>
    </cacheField>
    <cacheField name="Region" numFmtId="49">
      <sharedItems count="6">
        <s v="East"/>
        <s v="Central"/>
        <s v="North"/>
        <s v="North-East"/>
        <s v="South"/>
        <s v="West"/>
      </sharedItems>
    </cacheField>
    <cacheField name="Session Date" numFmtId="14">
      <sharedItems containsSemiMixedTypes="0" containsNonDate="0" containsDate="1" containsString="0" minDate="2024-12-13T00:00:00" maxDate="2025-06-14T00:00:00" count="170">
        <d v="2025-02-08T00:00:00"/>
        <d v="2024-12-16T00:00:00"/>
        <d v="2024-12-17T00:00:00"/>
        <d v="2025-06-12T00:00:00"/>
        <d v="2025-05-21T00:00:00"/>
        <d v="2025-03-27T00:00:00"/>
        <d v="2025-04-12T00:00:00"/>
        <d v="2025-01-09T00:00:00"/>
        <d v="2025-02-07T00:00:00"/>
        <d v="2025-05-14T00:00:00"/>
        <d v="2025-04-09T00:00:00"/>
        <d v="2025-04-21T00:00:00"/>
        <d v="2025-03-08T00:00:00"/>
        <d v="2025-05-17T00:00:00"/>
        <d v="2025-03-03T00:00:00"/>
        <d v="2025-01-07T00:00:00"/>
        <d v="2025-01-24T00:00:00"/>
        <d v="2025-01-28T00:00:00"/>
        <d v="2025-04-22T00:00:00"/>
        <d v="2025-02-14T00:00:00"/>
        <d v="2025-05-31T00:00:00"/>
        <d v="2025-05-13T00:00:00"/>
        <d v="2025-03-22T00:00:00"/>
        <d v="2025-03-24T00:00:00"/>
        <d v="2025-05-04T00:00:00"/>
        <d v="2025-03-25T00:00:00"/>
        <d v="2025-05-02T00:00:00"/>
        <d v="2025-02-04T00:00:00"/>
        <d v="2025-04-16T00:00:00"/>
        <d v="2025-06-10T00:00:00"/>
        <d v="2025-02-06T00:00:00"/>
        <d v="2025-02-20T00:00:00"/>
        <d v="2025-05-20T00:00:00"/>
        <d v="2025-03-13T00:00:00"/>
        <d v="2025-04-03T00:00:00"/>
        <d v="2025-03-05T00:00:00"/>
        <d v="2025-01-16T00:00:00"/>
        <d v="2025-05-06T00:00:00"/>
        <d v="2025-01-19T00:00:00"/>
        <d v="2025-03-01T00:00:00"/>
        <d v="2025-02-27T00:00:00"/>
        <d v="2025-01-01T00:00:00"/>
        <d v="2024-12-19T00:00:00"/>
        <d v="2025-04-11T00:00:00"/>
        <d v="2025-03-11T00:00:00"/>
        <d v="2025-06-06T00:00:00"/>
        <d v="2025-05-11T00:00:00"/>
        <d v="2025-04-24T00:00:00"/>
        <d v="2025-04-20T00:00:00"/>
        <d v="2025-05-27T00:00:00"/>
        <d v="2025-03-23T00:00:00"/>
        <d v="2025-02-25T00:00:00"/>
        <d v="2025-01-05T00:00:00"/>
        <d v="2025-06-03T00:00:00"/>
        <d v="2025-01-17T00:00:00"/>
        <d v="2025-01-25T00:00:00"/>
        <d v="2025-01-02T00:00:00"/>
        <d v="2025-05-05T00:00:00"/>
        <d v="2025-01-08T00:00:00"/>
        <d v="2025-06-09T00:00:00"/>
        <d v="2025-06-07T00:00:00"/>
        <d v="2025-06-01T00:00:00"/>
        <d v="2025-05-01T00:00:00"/>
        <d v="2025-01-20T00:00:00"/>
        <d v="2025-02-01T00:00:00"/>
        <d v="2024-12-25T00:00:00"/>
        <d v="2025-01-04T00:00:00"/>
        <d v="2025-04-23T00:00:00"/>
        <d v="2024-12-20T00:00:00"/>
        <d v="2025-03-15T00:00:00"/>
        <d v="2025-02-24T00:00:00"/>
        <d v="2025-02-22T00:00:00"/>
        <d v="2025-05-10T00:00:00"/>
        <d v="2025-01-11T00:00:00"/>
        <d v="2025-05-18T00:00:00"/>
        <d v="2025-05-22T00:00:00"/>
        <d v="2025-04-15T00:00:00"/>
        <d v="2025-03-31T00:00:00"/>
        <d v="2025-06-11T00:00:00"/>
        <d v="2024-12-30T00:00:00"/>
        <d v="2025-05-25T00:00:00"/>
        <d v="2024-12-18T00:00:00"/>
        <d v="2025-02-15T00:00:00"/>
        <d v="2025-04-02T00:00:00"/>
        <d v="2025-02-19T00:00:00"/>
        <d v="2025-03-10T00:00:00"/>
        <d v="2025-01-31T00:00:00"/>
        <d v="2024-12-22T00:00:00"/>
        <d v="2025-01-10T00:00:00"/>
        <d v="2025-01-29T00:00:00"/>
        <d v="2025-01-13T00:00:00"/>
        <d v="2025-04-01T00:00:00"/>
        <d v="2025-01-22T00:00:00"/>
        <d v="2025-04-27T00:00:00"/>
        <d v="2025-02-17T00:00:00"/>
        <d v="2024-12-24T00:00:00"/>
        <d v="2025-01-26T00:00:00"/>
        <d v="2025-02-05T00:00:00"/>
        <d v="2025-03-12T00:00:00"/>
        <d v="2025-03-21T00:00:00"/>
        <d v="2025-05-15T00:00:00"/>
        <d v="2025-02-21T00:00:00"/>
        <d v="2025-02-12T00:00:00"/>
        <d v="2025-02-02T00:00:00"/>
        <d v="2025-04-18T00:00:00"/>
        <d v="2025-02-13T00:00:00"/>
        <d v="2025-03-09T00:00:00"/>
        <d v="2025-06-08T00:00:00"/>
        <d v="2025-02-28T00:00:00"/>
        <d v="2025-05-29T00:00:00"/>
        <d v="2025-05-24T00:00:00"/>
        <d v="2025-02-26T00:00:00"/>
        <d v="2025-05-23T00:00:00"/>
        <d v="2025-03-30T00:00:00"/>
        <d v="2024-12-28T00:00:00"/>
        <d v="2025-01-30T00:00:00"/>
        <d v="2025-04-04T00:00:00"/>
        <d v="2025-03-26T00:00:00"/>
        <d v="2025-05-28T00:00:00"/>
        <d v="2024-12-15T00:00:00"/>
        <d v="2025-03-06T00:00:00"/>
        <d v="2025-04-17T00:00:00"/>
        <d v="2025-03-04T00:00:00"/>
        <d v="2025-04-28T00:00:00"/>
        <d v="2025-01-06T00:00:00"/>
        <d v="2025-01-23T00:00:00"/>
        <d v="2025-05-09T00:00:00"/>
        <d v="2025-04-10T00:00:00"/>
        <d v="2024-12-26T00:00:00"/>
        <d v="2025-01-27T00:00:00"/>
        <d v="2025-01-03T00:00:00"/>
        <d v="2025-05-26T00:00:00"/>
        <d v="2025-01-18T00:00:00"/>
        <d v="2025-04-25T00:00:00"/>
        <d v="2025-02-03T00:00:00"/>
        <d v="2024-12-13T00:00:00"/>
        <d v="2025-04-06T00:00:00"/>
        <d v="2025-06-02T00:00:00"/>
        <d v="2025-05-03T00:00:00"/>
        <d v="2025-03-19T00:00:00"/>
        <d v="2025-03-28T00:00:00"/>
        <d v="2025-01-14T00:00:00"/>
        <d v="2025-02-16T00:00:00"/>
        <d v="2025-01-12T00:00:00"/>
        <d v="2025-05-08T00:00:00"/>
        <d v="2025-06-04T00:00:00"/>
        <d v="2024-12-21T00:00:00"/>
        <d v="2025-04-29T00:00:00"/>
        <d v="2025-01-21T00:00:00"/>
        <d v="2025-05-16T00:00:00"/>
        <d v="2025-03-18T00:00:00"/>
        <d v="2024-12-31T00:00:00"/>
        <d v="2025-03-16T00:00:00"/>
        <d v="2025-03-07T00:00:00"/>
        <d v="2025-05-12T00:00:00"/>
        <d v="2024-12-29T00:00:00"/>
        <d v="2025-04-19T00:00:00"/>
        <d v="2025-03-14T00:00:00"/>
        <d v="2025-05-30T00:00:00"/>
        <d v="2025-02-23T00:00:00"/>
        <d v="2025-04-07T00:00:00"/>
        <d v="2025-03-17T00:00:00"/>
        <d v="2025-06-05T00:00:00"/>
        <d v="2025-05-07T00:00:00"/>
        <d v="2025-05-19T00:00:00"/>
        <d v="2025-04-08T00:00:00"/>
        <d v="2025-06-13T00:00:00"/>
        <d v="2025-04-26T00:00:00"/>
        <d v="2025-04-30T00:00:00"/>
        <d v="2025-01-15T00:00:00"/>
      </sharedItems>
      <fieldGroup par="19" base="6">
        <rangePr groupBy="months" startDate="2024-12-13T00:00:00" endDate="2025-06-14T00:00:00"/>
        <groupItems count="14">
          <s v="&lt;12/13/2024"/>
          <s v="Jan"/>
          <s v="Feb"/>
          <s v="Mar"/>
          <s v="Apr"/>
          <s v="May"/>
          <s v="Jun"/>
          <s v="Jul"/>
          <s v="Aug"/>
          <s v="Sep"/>
          <s v="Oct"/>
          <s v="Nov"/>
          <s v="Dec"/>
          <s v="&gt;6/14/2025"/>
        </groupItems>
      </fieldGroup>
    </cacheField>
    <cacheField name="Session Duration (min)" numFmtId="1">
      <sharedItems containsSemiMixedTypes="0" containsString="0" containsNumber="1" containsInteger="1" minValue="5" maxValue="180"/>
    </cacheField>
    <cacheField name="In-Game Purchase ($)" numFmtId="2">
      <sharedItems containsSemiMixedTypes="0" containsString="0" containsNumber="1" minValue="0" maxValue="47.72"/>
    </cacheField>
    <cacheField name="Purchase Type" numFmtId="0">
      <sharedItems count="5">
        <s v="None"/>
        <s v="Boosters"/>
        <s v="Subscriptions"/>
        <s v="Battle Pass"/>
        <s v="Skins"/>
      </sharedItems>
    </cacheField>
    <cacheField name="Session Status" numFmtId="0">
      <sharedItems count="4">
        <s v="Completed"/>
        <s v="Crashed"/>
        <s v="Exited Early"/>
        <s v="Incomplete"/>
      </sharedItems>
    </cacheField>
    <cacheField name="Player Type" numFmtId="0">
      <sharedItems count="2">
        <s v="Free"/>
        <s v="Paid"/>
      </sharedItems>
    </cacheField>
    <cacheField name="Level Reached" numFmtId="0">
      <sharedItems containsSemiMixedTypes="0" containsString="0" containsNumber="1" containsInteger="1" minValue="1" maxValue="50"/>
    </cacheField>
    <cacheField name="Is Suspicious" numFmtId="0">
      <sharedItems/>
    </cacheField>
    <cacheField name="Year" numFmtId="0">
      <sharedItems containsSemiMixedTypes="0" containsString="0" containsNumber="1" containsInteger="1" minValue="2024" maxValue="2025"/>
    </cacheField>
    <cacheField name="Month" numFmtId="0">
      <sharedItems containsSemiMixedTypes="0" containsString="0" containsNumber="1" containsInteger="1" minValue="1" maxValue="12"/>
    </cacheField>
    <cacheField name="ARPU" numFmtId="2">
      <sharedItems containsSemiMixedTypes="0" containsString="0" containsNumber="1" minValue="0" maxValue="10.450000000000001"/>
    </cacheField>
    <cacheField name="SuccessFlag" numFmtId="0">
      <sharedItems containsSemiMixedTypes="0" containsString="0" containsNumber="1" containsInteger="1" minValue="0" maxValue="1"/>
    </cacheField>
    <cacheField name="Suspicious Flag" numFmtId="0">
      <sharedItems count="2">
        <s v="Suspicious"/>
        <s v="Normal"/>
      </sharedItems>
    </cacheField>
    <cacheField name="Years" numFmtId="0" databaseField="0">
      <fieldGroup base="6">
        <rangePr groupBy="years" startDate="2024-12-13T00:00:00" endDate="2025-06-14T00:00:00"/>
        <groupItems count="4">
          <s v="&lt;12/13/2024"/>
          <s v="2024"/>
          <s v="2025"/>
          <s v="&gt;6/14/2025"/>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295.968719675926" createdVersion="5" refreshedVersion="5" minRefreshableVersion="3" recordCount="500">
  <cacheSource type="worksheet">
    <worksheetSource ref="A1:R501" sheet="Dataset"/>
  </cacheSource>
  <cacheFields count="18">
    <cacheField name="Session ID" numFmtId="0">
      <sharedItems/>
    </cacheField>
    <cacheField name="Player ID" numFmtId="0">
      <sharedItems/>
    </cacheField>
    <cacheField name="Player Name" numFmtId="0">
      <sharedItems/>
    </cacheField>
    <cacheField name="Game Name" numFmtId="0">
      <sharedItems count="5">
        <s v="BattleZone"/>
        <s v="Zombie Rush"/>
        <s v="SpeedX"/>
        <s v="Clash of Realms"/>
        <s v="Empire Wars"/>
      </sharedItems>
    </cacheField>
    <cacheField name="Platform" numFmtId="49">
      <sharedItems count="3">
        <s v="Console"/>
        <s v="Mobile"/>
        <s v="PC"/>
      </sharedItems>
    </cacheField>
    <cacheField name="Region" numFmtId="49">
      <sharedItems count="6">
        <s v="East"/>
        <s v="Central"/>
        <s v="North"/>
        <s v="North-East"/>
        <s v="South"/>
        <s v="West"/>
      </sharedItems>
    </cacheField>
    <cacheField name="Session Date" numFmtId="14">
      <sharedItems containsSemiMixedTypes="0" containsNonDate="0" containsDate="1" containsString="0" minDate="2024-12-13T00:00:00" maxDate="2025-06-14T00:00:00"/>
    </cacheField>
    <cacheField name="Session Duration (min)" numFmtId="1">
      <sharedItems containsSemiMixedTypes="0" containsString="0" containsNumber="1" containsInteger="1" minValue="5" maxValue="180"/>
    </cacheField>
    <cacheField name="In-Game Purchase ($)" numFmtId="2">
      <sharedItems containsSemiMixedTypes="0" containsString="0" containsNumber="1" minValue="0" maxValue="47.72"/>
    </cacheField>
    <cacheField name="Purchase Type" numFmtId="0">
      <sharedItems count="5">
        <s v="None"/>
        <s v="Boosters"/>
        <s v="Subscriptions"/>
        <s v="Battle Pass"/>
        <s v="Skins"/>
      </sharedItems>
    </cacheField>
    <cacheField name="Session Status" numFmtId="0">
      <sharedItems/>
    </cacheField>
    <cacheField name="Player Type" numFmtId="0">
      <sharedItems count="2">
        <s v="Free"/>
        <s v="Paid"/>
      </sharedItems>
    </cacheField>
    <cacheField name="Level Reached" numFmtId="0">
      <sharedItems containsSemiMixedTypes="0" containsString="0" containsNumber="1" containsInteger="1" minValue="1" maxValue="50"/>
    </cacheField>
    <cacheField name="Is Suspicious" numFmtId="0">
      <sharedItems/>
    </cacheField>
    <cacheField name="Year" numFmtId="0">
      <sharedItems containsSemiMixedTypes="0" containsString="0" containsNumber="1" containsInteger="1" minValue="2024" maxValue="2025"/>
    </cacheField>
    <cacheField name="Month" numFmtId="0">
      <sharedItems containsSemiMixedTypes="0" containsString="0" containsNumber="1" containsInteger="1" minValue="1" maxValue="12"/>
    </cacheField>
    <cacheField name="ARPU" numFmtId="2">
      <sharedItems containsSemiMixedTypes="0" containsString="0" containsNumber="1" minValue="0" maxValue="10.450000000000001"/>
    </cacheField>
    <cacheField name="Success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S00001"/>
    <s v="P3652"/>
    <s v="harrisrichard"/>
    <x v="0"/>
    <x v="0"/>
    <x v="0"/>
    <x v="0"/>
    <n v="179"/>
    <n v="0"/>
    <x v="0"/>
    <x v="0"/>
    <x v="0"/>
    <n v="42"/>
    <s v="Yes"/>
    <n v="2025"/>
    <n v="2"/>
    <n v="5.2625399999999996"/>
    <n v="1"/>
    <x v="0"/>
  </r>
  <r>
    <s v="S00002"/>
    <s v="P9981"/>
    <s v="wlee"/>
    <x v="1"/>
    <x v="1"/>
    <x v="1"/>
    <x v="1"/>
    <n v="75"/>
    <n v="26.02"/>
    <x v="1"/>
    <x v="0"/>
    <x v="1"/>
    <n v="11"/>
    <s v="No"/>
    <n v="2024"/>
    <n v="12"/>
    <n v="5.2730861723446889"/>
    <n v="1"/>
    <x v="1"/>
  </r>
  <r>
    <s v="S00003"/>
    <s v="P5280"/>
    <s v="katie47"/>
    <x v="2"/>
    <x v="0"/>
    <x v="0"/>
    <x v="2"/>
    <n v="36"/>
    <n v="2.94"/>
    <x v="2"/>
    <x v="0"/>
    <x v="1"/>
    <n v="4"/>
    <s v="No"/>
    <n v="2024"/>
    <n v="12"/>
    <n v="5.2314257028112454"/>
    <n v="1"/>
    <x v="1"/>
  </r>
  <r>
    <s v="S00004"/>
    <s v="P2930"/>
    <s v="isaac85"/>
    <x v="3"/>
    <x v="1"/>
    <x v="1"/>
    <x v="3"/>
    <n v="153"/>
    <n v="0"/>
    <x v="0"/>
    <x v="0"/>
    <x v="0"/>
    <n v="18"/>
    <s v="Yes"/>
    <n v="2025"/>
    <n v="6"/>
    <n v="5.2360362173038224"/>
    <n v="1"/>
    <x v="1"/>
  </r>
  <r>
    <s v="S00005"/>
    <s v="P7925"/>
    <s v="ballarddouglas"/>
    <x v="1"/>
    <x v="1"/>
    <x v="2"/>
    <x v="4"/>
    <n v="109"/>
    <n v="5.48"/>
    <x v="1"/>
    <x v="1"/>
    <x v="1"/>
    <n v="5"/>
    <s v="No"/>
    <n v="2025"/>
    <n v="5"/>
    <n v="5.2465927419354834"/>
    <n v="0"/>
    <x v="1"/>
  </r>
  <r>
    <s v="S00006"/>
    <s v="P9919"/>
    <s v="lrichardson"/>
    <x v="1"/>
    <x v="1"/>
    <x v="2"/>
    <x v="5"/>
    <n v="46"/>
    <n v="0"/>
    <x v="0"/>
    <x v="1"/>
    <x v="0"/>
    <n v="39"/>
    <s v="No"/>
    <n v="2025"/>
    <n v="3"/>
    <n v="5.2461212121212117"/>
    <n v="0"/>
    <x v="1"/>
  </r>
  <r>
    <s v="S00007"/>
    <s v="P7231"/>
    <s v="holmesbruce"/>
    <x v="3"/>
    <x v="0"/>
    <x v="3"/>
    <x v="6"/>
    <n v="134"/>
    <n v="42.57"/>
    <x v="3"/>
    <x v="2"/>
    <x v="1"/>
    <n v="40"/>
    <s v="Yes"/>
    <n v="2025"/>
    <n v="4"/>
    <n v="5.2567408906882589"/>
    <n v="0"/>
    <x v="1"/>
  </r>
  <r>
    <s v="S00008"/>
    <s v="P5965"/>
    <s v="lhansen"/>
    <x v="0"/>
    <x v="2"/>
    <x v="4"/>
    <x v="7"/>
    <n v="38"/>
    <n v="0"/>
    <x v="0"/>
    <x v="2"/>
    <x v="0"/>
    <n v="14"/>
    <s v="No"/>
    <n v="2025"/>
    <n v="1"/>
    <n v="5.1810547667342792"/>
    <n v="0"/>
    <x v="1"/>
  </r>
  <r>
    <s v="S00009"/>
    <s v="P3834"/>
    <s v="alexis47"/>
    <x v="3"/>
    <x v="2"/>
    <x v="0"/>
    <x v="8"/>
    <n v="24"/>
    <n v="0"/>
    <x v="0"/>
    <x v="2"/>
    <x v="0"/>
    <n v="45"/>
    <s v="No"/>
    <n v="2025"/>
    <n v="2"/>
    <n v="5.1915853658536584"/>
    <n v="0"/>
    <x v="1"/>
  </r>
  <r>
    <s v="S00010"/>
    <s v="P4220"/>
    <s v="ryanmarshall"/>
    <x v="1"/>
    <x v="2"/>
    <x v="2"/>
    <x v="9"/>
    <n v="138"/>
    <n v="0"/>
    <x v="0"/>
    <x v="2"/>
    <x v="0"/>
    <n v="48"/>
    <s v="No"/>
    <n v="2025"/>
    <n v="5"/>
    <n v="5.202158859470468"/>
    <n v="0"/>
    <x v="1"/>
  </r>
  <r>
    <s v="S00011"/>
    <s v="P1038"/>
    <s v="alexandriaparrish"/>
    <x v="2"/>
    <x v="0"/>
    <x v="2"/>
    <x v="10"/>
    <n v="26"/>
    <n v="0"/>
    <x v="0"/>
    <x v="1"/>
    <x v="0"/>
    <n v="27"/>
    <s v="No"/>
    <n v="2025"/>
    <n v="4"/>
    <n v="5.2127755102040814"/>
    <n v="0"/>
    <x v="1"/>
  </r>
  <r>
    <s v="S00012"/>
    <s v="P7407"/>
    <s v="jacobhaynes"/>
    <x v="1"/>
    <x v="2"/>
    <x v="2"/>
    <x v="11"/>
    <n v="142"/>
    <n v="0"/>
    <x v="0"/>
    <x v="0"/>
    <x v="0"/>
    <n v="23"/>
    <s v="No"/>
    <n v="2025"/>
    <n v="4"/>
    <n v="5.2234355828220851"/>
    <n v="1"/>
    <x v="1"/>
  </r>
  <r>
    <s v="S00013"/>
    <s v="P4776"/>
    <s v="xjoseph"/>
    <x v="2"/>
    <x v="1"/>
    <x v="4"/>
    <x v="12"/>
    <n v="100"/>
    <n v="0"/>
    <x v="0"/>
    <x v="0"/>
    <x v="0"/>
    <n v="36"/>
    <s v="No"/>
    <n v="2025"/>
    <n v="3"/>
    <n v="5.234139344262295"/>
    <n v="1"/>
    <x v="1"/>
  </r>
  <r>
    <s v="S00014"/>
    <s v="P6935"/>
    <s v="yjohnson"/>
    <x v="0"/>
    <x v="2"/>
    <x v="0"/>
    <x v="13"/>
    <n v="78"/>
    <n v="0"/>
    <x v="0"/>
    <x v="0"/>
    <x v="0"/>
    <n v="35"/>
    <s v="No"/>
    <n v="2025"/>
    <n v="5"/>
    <n v="5.24488706365503"/>
    <n v="1"/>
    <x v="1"/>
  </r>
  <r>
    <s v="S00015"/>
    <s v="P9150"/>
    <s v="lesliemiller"/>
    <x v="4"/>
    <x v="2"/>
    <x v="5"/>
    <x v="14"/>
    <n v="151"/>
    <n v="0"/>
    <x v="0"/>
    <x v="0"/>
    <x v="0"/>
    <n v="47"/>
    <s v="Yes"/>
    <n v="2025"/>
    <n v="3"/>
    <n v="5.2556790123456789"/>
    <n v="1"/>
    <x v="1"/>
  </r>
  <r>
    <s v="S00016"/>
    <s v="P9796"/>
    <s v="raynatalie"/>
    <x v="0"/>
    <x v="1"/>
    <x v="0"/>
    <x v="15"/>
    <n v="163"/>
    <n v="0"/>
    <x v="0"/>
    <x v="0"/>
    <x v="0"/>
    <n v="50"/>
    <s v="Yes"/>
    <n v="2025"/>
    <n v="1"/>
    <n v="5.2665154639175249"/>
    <n v="1"/>
    <x v="1"/>
  </r>
  <r>
    <s v="S00017"/>
    <s v="P5317"/>
    <s v="xtaylor"/>
    <x v="0"/>
    <x v="2"/>
    <x v="0"/>
    <x v="16"/>
    <n v="128"/>
    <n v="0"/>
    <x v="0"/>
    <x v="3"/>
    <x v="0"/>
    <n v="7"/>
    <s v="No"/>
    <n v="2025"/>
    <n v="1"/>
    <n v="5.2773966942148753"/>
    <n v="0"/>
    <x v="1"/>
  </r>
  <r>
    <s v="S00018"/>
    <s v="P5320"/>
    <s v="aguilarjennifer"/>
    <x v="4"/>
    <x v="0"/>
    <x v="3"/>
    <x v="17"/>
    <n v="173"/>
    <n v="0"/>
    <x v="0"/>
    <x v="2"/>
    <x v="0"/>
    <n v="30"/>
    <s v="Yes"/>
    <n v="2025"/>
    <n v="1"/>
    <n v="5.2883229813664592"/>
    <n v="0"/>
    <x v="0"/>
  </r>
  <r>
    <s v="S00019"/>
    <s v="P8261"/>
    <s v="lmeza"/>
    <x v="2"/>
    <x v="1"/>
    <x v="2"/>
    <x v="18"/>
    <n v="49"/>
    <n v="0"/>
    <x v="0"/>
    <x v="2"/>
    <x v="0"/>
    <n v="47"/>
    <s v="No"/>
    <n v="2025"/>
    <n v="4"/>
    <n v="5.2992946058091279"/>
    <n v="0"/>
    <x v="1"/>
  </r>
  <r>
    <s v="S00020"/>
    <s v="P6549"/>
    <s v="michael06"/>
    <x v="1"/>
    <x v="1"/>
    <x v="1"/>
    <x v="19"/>
    <n v="94"/>
    <n v="0"/>
    <x v="0"/>
    <x v="1"/>
    <x v="0"/>
    <n v="48"/>
    <s v="No"/>
    <n v="2025"/>
    <n v="2"/>
    <n v="5.3103118503118498"/>
    <n v="0"/>
    <x v="1"/>
  </r>
  <r>
    <s v="S00021"/>
    <s v="P1758"/>
    <s v="lawsonderrick"/>
    <x v="0"/>
    <x v="2"/>
    <x v="3"/>
    <x v="20"/>
    <n v="168"/>
    <n v="0"/>
    <x v="0"/>
    <x v="0"/>
    <x v="0"/>
    <n v="33"/>
    <s v="Yes"/>
    <n v="2025"/>
    <n v="5"/>
    <n v="5.3213749999999997"/>
    <n v="1"/>
    <x v="1"/>
  </r>
  <r>
    <s v="S00022"/>
    <s v="P5785"/>
    <s v="icrawford"/>
    <x v="3"/>
    <x v="0"/>
    <x v="2"/>
    <x v="21"/>
    <n v="86"/>
    <n v="0"/>
    <x v="0"/>
    <x v="0"/>
    <x v="0"/>
    <n v="34"/>
    <s v="No"/>
    <n v="2025"/>
    <n v="5"/>
    <n v="5.3324843423799582"/>
    <n v="1"/>
    <x v="1"/>
  </r>
  <r>
    <s v="S00023"/>
    <s v="P4722"/>
    <s v="david54"/>
    <x v="1"/>
    <x v="0"/>
    <x v="2"/>
    <x v="22"/>
    <n v="58"/>
    <n v="0"/>
    <x v="0"/>
    <x v="0"/>
    <x v="0"/>
    <n v="37"/>
    <s v="No"/>
    <n v="2025"/>
    <n v="3"/>
    <n v="5.3436401673640166"/>
    <n v="1"/>
    <x v="1"/>
  </r>
  <r>
    <s v="S00024"/>
    <s v="P8146"/>
    <s v="rcraig"/>
    <x v="2"/>
    <x v="2"/>
    <x v="5"/>
    <x v="23"/>
    <n v="121"/>
    <n v="7.28"/>
    <x v="1"/>
    <x v="0"/>
    <x v="1"/>
    <n v="34"/>
    <s v="No"/>
    <n v="2025"/>
    <n v="3"/>
    <n v="5.3548427672955974"/>
    <n v="1"/>
    <x v="1"/>
  </r>
  <r>
    <s v="S00025"/>
    <s v="P2146"/>
    <s v="kvasquez"/>
    <x v="1"/>
    <x v="2"/>
    <x v="4"/>
    <x v="24"/>
    <n v="51"/>
    <n v="0"/>
    <x v="0"/>
    <x v="1"/>
    <x v="0"/>
    <n v="41"/>
    <s v="No"/>
    <n v="2025"/>
    <n v="5"/>
    <n v="5.3507983193277298"/>
    <n v="0"/>
    <x v="1"/>
  </r>
  <r>
    <s v="S00026"/>
    <s v="P3548"/>
    <s v="erica07"/>
    <x v="4"/>
    <x v="2"/>
    <x v="3"/>
    <x v="25"/>
    <n v="96"/>
    <n v="0"/>
    <x v="0"/>
    <x v="0"/>
    <x v="1"/>
    <n v="17"/>
    <s v="No"/>
    <n v="2025"/>
    <n v="3"/>
    <n v="5.3620631578947355"/>
    <n v="1"/>
    <x v="1"/>
  </r>
  <r>
    <s v="S00027"/>
    <s v="P2609"/>
    <s v="owensoscar"/>
    <x v="4"/>
    <x v="1"/>
    <x v="3"/>
    <x v="26"/>
    <n v="173"/>
    <n v="0"/>
    <x v="0"/>
    <x v="0"/>
    <x v="0"/>
    <n v="8"/>
    <s v="Yes"/>
    <n v="2025"/>
    <n v="5"/>
    <n v="5.373375527426159"/>
    <n v="1"/>
    <x v="0"/>
  </r>
  <r>
    <s v="S00028"/>
    <s v="P4851"/>
    <s v="wlawson"/>
    <x v="2"/>
    <x v="1"/>
    <x v="3"/>
    <x v="27"/>
    <n v="105"/>
    <n v="0"/>
    <x v="0"/>
    <x v="0"/>
    <x v="0"/>
    <n v="11"/>
    <s v="No"/>
    <n v="2025"/>
    <n v="2"/>
    <n v="5.3847357293868914"/>
    <n v="1"/>
    <x v="1"/>
  </r>
  <r>
    <s v="S00029"/>
    <s v="P5046"/>
    <s v="kevinruiz"/>
    <x v="3"/>
    <x v="0"/>
    <x v="3"/>
    <x v="28"/>
    <n v="16"/>
    <n v="0"/>
    <x v="0"/>
    <x v="0"/>
    <x v="0"/>
    <n v="26"/>
    <s v="No"/>
    <n v="2025"/>
    <n v="4"/>
    <n v="5.3961440677966088"/>
    <n v="1"/>
    <x v="1"/>
  </r>
  <r>
    <s v="S00030"/>
    <s v="P4408"/>
    <s v="dlee"/>
    <x v="2"/>
    <x v="1"/>
    <x v="4"/>
    <x v="29"/>
    <n v="135"/>
    <n v="0"/>
    <x v="0"/>
    <x v="0"/>
    <x v="0"/>
    <n v="12"/>
    <s v="No"/>
    <n v="2025"/>
    <n v="6"/>
    <n v="5.407600849256899"/>
    <n v="1"/>
    <x v="1"/>
  </r>
  <r>
    <s v="S00031"/>
    <s v="P3683"/>
    <s v="rebekah64"/>
    <x v="4"/>
    <x v="1"/>
    <x v="3"/>
    <x v="30"/>
    <n v="96"/>
    <n v="0"/>
    <x v="0"/>
    <x v="0"/>
    <x v="0"/>
    <n v="43"/>
    <s v="No"/>
    <n v="2025"/>
    <n v="2"/>
    <n v="5.4191063829787227"/>
    <n v="1"/>
    <x v="1"/>
  </r>
  <r>
    <s v="S00032"/>
    <s v="P6285"/>
    <s v="katherinejohnston"/>
    <x v="2"/>
    <x v="2"/>
    <x v="3"/>
    <x v="31"/>
    <n v="16"/>
    <n v="0"/>
    <x v="0"/>
    <x v="0"/>
    <x v="0"/>
    <n v="16"/>
    <s v="No"/>
    <n v="2025"/>
    <n v="2"/>
    <n v="5.4306609808102335"/>
    <n v="1"/>
    <x v="1"/>
  </r>
  <r>
    <s v="S00033"/>
    <s v="P4554"/>
    <s v="odavis"/>
    <x v="3"/>
    <x v="2"/>
    <x v="3"/>
    <x v="0"/>
    <n v="165"/>
    <n v="0"/>
    <x v="0"/>
    <x v="0"/>
    <x v="0"/>
    <n v="23"/>
    <s v="Yes"/>
    <n v="2025"/>
    <n v="2"/>
    <n v="5.442264957264956"/>
    <n v="1"/>
    <x v="1"/>
  </r>
  <r>
    <s v="S00034"/>
    <s v="P6724"/>
    <s v="tylermiller"/>
    <x v="2"/>
    <x v="2"/>
    <x v="4"/>
    <x v="32"/>
    <n v="25"/>
    <n v="0"/>
    <x v="0"/>
    <x v="1"/>
    <x v="0"/>
    <n v="26"/>
    <s v="No"/>
    <n v="2025"/>
    <n v="5"/>
    <n v="5.4539186295503201"/>
    <n v="0"/>
    <x v="1"/>
  </r>
  <r>
    <s v="S00035"/>
    <s v="P2965"/>
    <s v="sonya77"/>
    <x v="2"/>
    <x v="2"/>
    <x v="4"/>
    <x v="33"/>
    <n v="140"/>
    <n v="0"/>
    <x v="0"/>
    <x v="0"/>
    <x v="0"/>
    <n v="26"/>
    <s v="No"/>
    <n v="2025"/>
    <n v="3"/>
    <n v="5.4656223175965657"/>
    <n v="1"/>
    <x v="1"/>
  </r>
  <r>
    <s v="S00036"/>
    <s v="P4961"/>
    <s v="sandyherman"/>
    <x v="4"/>
    <x v="1"/>
    <x v="1"/>
    <x v="34"/>
    <n v="86"/>
    <n v="0"/>
    <x v="0"/>
    <x v="0"/>
    <x v="0"/>
    <n v="47"/>
    <s v="No"/>
    <n v="2025"/>
    <n v="4"/>
    <n v="5.4773763440860206"/>
    <n v="1"/>
    <x v="1"/>
  </r>
  <r>
    <s v="S00037"/>
    <s v="P2861"/>
    <s v="leahlee"/>
    <x v="3"/>
    <x v="2"/>
    <x v="2"/>
    <x v="35"/>
    <n v="149"/>
    <n v="0"/>
    <x v="0"/>
    <x v="0"/>
    <x v="0"/>
    <n v="48"/>
    <s v="No"/>
    <n v="2025"/>
    <n v="3"/>
    <n v="5.4891810344827574"/>
    <n v="1"/>
    <x v="1"/>
  </r>
  <r>
    <s v="S00038"/>
    <s v="P7945"/>
    <s v="richardhooper"/>
    <x v="0"/>
    <x v="0"/>
    <x v="1"/>
    <x v="21"/>
    <n v="121"/>
    <n v="0"/>
    <x v="0"/>
    <x v="0"/>
    <x v="0"/>
    <n v="14"/>
    <s v="No"/>
    <n v="2025"/>
    <n v="5"/>
    <n v="5.5010367170626342"/>
    <n v="1"/>
    <x v="1"/>
  </r>
  <r>
    <s v="S00039"/>
    <s v="P3668"/>
    <s v="jenniferwilcox"/>
    <x v="2"/>
    <x v="1"/>
    <x v="1"/>
    <x v="19"/>
    <n v="154"/>
    <n v="0"/>
    <x v="0"/>
    <x v="0"/>
    <x v="0"/>
    <n v="44"/>
    <s v="Yes"/>
    <n v="2025"/>
    <n v="2"/>
    <n v="5.5129437229437217"/>
    <n v="1"/>
    <x v="1"/>
  </r>
  <r>
    <s v="S00040"/>
    <s v="P3875"/>
    <s v="bruce09"/>
    <x v="2"/>
    <x v="2"/>
    <x v="3"/>
    <x v="36"/>
    <n v="82"/>
    <n v="24.1"/>
    <x v="4"/>
    <x v="0"/>
    <x v="1"/>
    <n v="34"/>
    <s v="No"/>
    <n v="2025"/>
    <n v="1"/>
    <n v="5.5249023861171356"/>
    <n v="1"/>
    <x v="1"/>
  </r>
  <r>
    <s v="S00041"/>
    <s v="P2707"/>
    <s v="tpark"/>
    <x v="4"/>
    <x v="2"/>
    <x v="4"/>
    <x v="1"/>
    <n v="49"/>
    <n v="0"/>
    <x v="0"/>
    <x v="0"/>
    <x v="0"/>
    <n v="9"/>
    <s v="No"/>
    <n v="2024"/>
    <n v="12"/>
    <n v="5.4845217391304351"/>
    <n v="1"/>
    <x v="1"/>
  </r>
  <r>
    <s v="S00042"/>
    <s v="P2683"/>
    <s v="csanchez"/>
    <x v="3"/>
    <x v="0"/>
    <x v="4"/>
    <x v="37"/>
    <n v="35"/>
    <n v="0"/>
    <x v="0"/>
    <x v="0"/>
    <x v="1"/>
    <n v="33"/>
    <s v="No"/>
    <n v="2025"/>
    <n v="5"/>
    <n v="5.4964705882352947"/>
    <n v="1"/>
    <x v="1"/>
  </r>
  <r>
    <s v="S00043"/>
    <s v="P2171"/>
    <s v="nnguyen"/>
    <x v="0"/>
    <x v="2"/>
    <x v="5"/>
    <x v="38"/>
    <n v="112"/>
    <n v="30.74"/>
    <x v="2"/>
    <x v="0"/>
    <x v="1"/>
    <n v="10"/>
    <s v="No"/>
    <n v="2025"/>
    <n v="1"/>
    <n v="5.5084716157205245"/>
    <n v="1"/>
    <x v="1"/>
  </r>
  <r>
    <s v="S00044"/>
    <s v="P5497"/>
    <s v="vmooney"/>
    <x v="0"/>
    <x v="0"/>
    <x v="5"/>
    <x v="27"/>
    <n v="67"/>
    <n v="0"/>
    <x v="0"/>
    <x v="2"/>
    <x v="0"/>
    <n v="16"/>
    <s v="No"/>
    <n v="2025"/>
    <n v="2"/>
    <n v="5.4532603938730855"/>
    <n v="0"/>
    <x v="1"/>
  </r>
  <r>
    <s v="S00045"/>
    <s v="P7820"/>
    <s v="jennifer87"/>
    <x v="0"/>
    <x v="2"/>
    <x v="5"/>
    <x v="38"/>
    <n v="15"/>
    <n v="0"/>
    <x v="0"/>
    <x v="1"/>
    <x v="0"/>
    <n v="38"/>
    <s v="No"/>
    <n v="2025"/>
    <n v="1"/>
    <n v="5.4652192982456134"/>
    <n v="0"/>
    <x v="1"/>
  </r>
  <r>
    <s v="S00046"/>
    <s v="P5339"/>
    <s v="jcarter"/>
    <x v="2"/>
    <x v="0"/>
    <x v="4"/>
    <x v="39"/>
    <n v="8"/>
    <n v="0"/>
    <x v="0"/>
    <x v="0"/>
    <x v="0"/>
    <n v="33"/>
    <s v="No"/>
    <n v="2025"/>
    <n v="3"/>
    <n v="5.4772307692307693"/>
    <n v="1"/>
    <x v="1"/>
  </r>
  <r>
    <s v="S00047"/>
    <s v="P2125"/>
    <s v="jlane"/>
    <x v="3"/>
    <x v="1"/>
    <x v="5"/>
    <x v="2"/>
    <n v="27"/>
    <n v="0"/>
    <x v="0"/>
    <x v="0"/>
    <x v="0"/>
    <n v="19"/>
    <s v="No"/>
    <n v="2024"/>
    <n v="12"/>
    <n v="5.4892951541850215"/>
    <n v="1"/>
    <x v="1"/>
  </r>
  <r>
    <s v="S00048"/>
    <s v="P1178"/>
    <s v="nathan33"/>
    <x v="0"/>
    <x v="0"/>
    <x v="2"/>
    <x v="27"/>
    <n v="115"/>
    <n v="22.35"/>
    <x v="2"/>
    <x v="0"/>
    <x v="1"/>
    <n v="43"/>
    <s v="No"/>
    <n v="2025"/>
    <n v="2"/>
    <n v="5.5014128035320082"/>
    <n v="1"/>
    <x v="1"/>
  </r>
  <r>
    <s v="S00049"/>
    <s v="P2502"/>
    <s v="owensjoseph"/>
    <x v="1"/>
    <x v="1"/>
    <x v="1"/>
    <x v="40"/>
    <n v="27"/>
    <n v="0"/>
    <x v="0"/>
    <x v="0"/>
    <x v="0"/>
    <n v="39"/>
    <s v="No"/>
    <n v="2025"/>
    <n v="2"/>
    <n v="5.4641371681415922"/>
    <n v="1"/>
    <x v="1"/>
  </r>
  <r>
    <s v="S00050"/>
    <s v="P5155"/>
    <s v="griffinsarah"/>
    <x v="2"/>
    <x v="1"/>
    <x v="1"/>
    <x v="41"/>
    <n v="82"/>
    <n v="0"/>
    <x v="0"/>
    <x v="3"/>
    <x v="0"/>
    <n v="26"/>
    <s v="No"/>
    <n v="2025"/>
    <n v="1"/>
    <n v="5.4762527716186238"/>
    <n v="0"/>
    <x v="1"/>
  </r>
  <r>
    <s v="S00051"/>
    <s v="P3174"/>
    <s v="petersonlacey"/>
    <x v="0"/>
    <x v="0"/>
    <x v="4"/>
    <x v="24"/>
    <n v="42"/>
    <n v="0"/>
    <x v="0"/>
    <x v="0"/>
    <x v="0"/>
    <n v="18"/>
    <s v="No"/>
    <n v="2025"/>
    <n v="5"/>
    <n v="5.488422222222221"/>
    <n v="1"/>
    <x v="1"/>
  </r>
  <r>
    <s v="S00052"/>
    <s v="P8266"/>
    <s v="cynthiapoole"/>
    <x v="1"/>
    <x v="2"/>
    <x v="0"/>
    <x v="42"/>
    <n v="108"/>
    <n v="0"/>
    <x v="0"/>
    <x v="0"/>
    <x v="0"/>
    <n v="35"/>
    <s v="No"/>
    <n v="2024"/>
    <n v="12"/>
    <n v="5.5006458797327387"/>
    <n v="1"/>
    <x v="1"/>
  </r>
  <r>
    <s v="S00053"/>
    <s v="P9579"/>
    <s v="richardsjessica"/>
    <x v="2"/>
    <x v="0"/>
    <x v="5"/>
    <x v="43"/>
    <n v="38"/>
    <n v="0"/>
    <x v="0"/>
    <x v="0"/>
    <x v="0"/>
    <n v="34"/>
    <s v="No"/>
    <n v="2025"/>
    <n v="4"/>
    <n v="5.5129241071428563"/>
    <n v="1"/>
    <x v="1"/>
  </r>
  <r>
    <s v="S00054"/>
    <s v="P5714"/>
    <s v="fforbes"/>
    <x v="0"/>
    <x v="2"/>
    <x v="5"/>
    <x v="44"/>
    <n v="136"/>
    <n v="0"/>
    <x v="0"/>
    <x v="0"/>
    <x v="0"/>
    <n v="11"/>
    <s v="No"/>
    <n v="2025"/>
    <n v="3"/>
    <n v="5.525257270693511"/>
    <n v="1"/>
    <x v="1"/>
  </r>
  <r>
    <s v="S00055"/>
    <s v="P4102"/>
    <s v="odonnelljennifer"/>
    <x v="0"/>
    <x v="1"/>
    <x v="1"/>
    <x v="45"/>
    <n v="20"/>
    <n v="0"/>
    <x v="0"/>
    <x v="3"/>
    <x v="0"/>
    <n v="49"/>
    <s v="No"/>
    <n v="2025"/>
    <n v="6"/>
    <n v="5.5376457399103129"/>
    <n v="0"/>
    <x v="1"/>
  </r>
  <r>
    <s v="S00056"/>
    <s v="P1285"/>
    <s v="amylong"/>
    <x v="0"/>
    <x v="1"/>
    <x v="2"/>
    <x v="46"/>
    <n v="117"/>
    <n v="0"/>
    <x v="0"/>
    <x v="2"/>
    <x v="0"/>
    <n v="11"/>
    <s v="No"/>
    <n v="2025"/>
    <n v="5"/>
    <n v="5.5500898876404481"/>
    <n v="0"/>
    <x v="1"/>
  </r>
  <r>
    <s v="S00057"/>
    <s v="P7588"/>
    <s v="usnyder"/>
    <x v="0"/>
    <x v="2"/>
    <x v="2"/>
    <x v="24"/>
    <n v="139"/>
    <n v="0"/>
    <x v="0"/>
    <x v="0"/>
    <x v="0"/>
    <n v="41"/>
    <s v="No"/>
    <n v="2025"/>
    <n v="5"/>
    <n v="5.5625900900900893"/>
    <n v="1"/>
    <x v="1"/>
  </r>
  <r>
    <s v="S00058"/>
    <s v="P9514"/>
    <s v="dianaburgess"/>
    <x v="1"/>
    <x v="1"/>
    <x v="0"/>
    <x v="10"/>
    <n v="19"/>
    <n v="44.21"/>
    <x v="3"/>
    <x v="0"/>
    <x v="1"/>
    <n v="24"/>
    <s v="Yes"/>
    <n v="2025"/>
    <n v="4"/>
    <n v="5.5751467268623012"/>
    <n v="1"/>
    <x v="1"/>
  </r>
  <r>
    <s v="S00059"/>
    <s v="P1110"/>
    <s v="joseph32"/>
    <x v="0"/>
    <x v="2"/>
    <x v="0"/>
    <x v="47"/>
    <n v="76"/>
    <n v="0"/>
    <x v="0"/>
    <x v="0"/>
    <x v="0"/>
    <n v="41"/>
    <s v="No"/>
    <n v="2025"/>
    <n v="4"/>
    <n v="5.4877375565610862"/>
    <n v="1"/>
    <x v="1"/>
  </r>
  <r>
    <s v="S00060"/>
    <s v="P2205"/>
    <s v="fstewart"/>
    <x v="4"/>
    <x v="2"/>
    <x v="1"/>
    <x v="48"/>
    <n v="153"/>
    <n v="0"/>
    <x v="0"/>
    <x v="0"/>
    <x v="0"/>
    <n v="2"/>
    <s v="Yes"/>
    <n v="2025"/>
    <n v="4"/>
    <n v="5.5001814058956917"/>
    <n v="1"/>
    <x v="1"/>
  </r>
  <r>
    <s v="S00061"/>
    <s v="P7473"/>
    <s v="sholmes"/>
    <x v="2"/>
    <x v="0"/>
    <x v="2"/>
    <x v="49"/>
    <n v="156"/>
    <n v="0"/>
    <x v="0"/>
    <x v="0"/>
    <x v="1"/>
    <n v="50"/>
    <s v="Yes"/>
    <n v="2025"/>
    <n v="5"/>
    <n v="5.512681818181818"/>
    <n v="1"/>
    <x v="1"/>
  </r>
  <r>
    <s v="S00062"/>
    <s v="P1805"/>
    <s v="charlesjohnson"/>
    <x v="2"/>
    <x v="1"/>
    <x v="5"/>
    <x v="50"/>
    <n v="153"/>
    <n v="0"/>
    <x v="0"/>
    <x v="0"/>
    <x v="1"/>
    <n v="44"/>
    <s v="Yes"/>
    <n v="2025"/>
    <n v="3"/>
    <n v="5.5252391799544416"/>
    <n v="1"/>
    <x v="1"/>
  </r>
  <r>
    <s v="S00063"/>
    <s v="P3641"/>
    <s v="davischristopher"/>
    <x v="1"/>
    <x v="0"/>
    <x v="5"/>
    <x v="41"/>
    <n v="77"/>
    <n v="39.880000000000003"/>
    <x v="4"/>
    <x v="0"/>
    <x v="1"/>
    <n v="25"/>
    <s v="No"/>
    <n v="2025"/>
    <n v="1"/>
    <n v="5.5378538812785383"/>
    <n v="1"/>
    <x v="1"/>
  </r>
  <r>
    <s v="S00064"/>
    <s v="P6094"/>
    <s v="jenniferarnold"/>
    <x v="1"/>
    <x v="2"/>
    <x v="4"/>
    <x v="29"/>
    <n v="81"/>
    <n v="10.1"/>
    <x v="2"/>
    <x v="1"/>
    <x v="1"/>
    <n v="24"/>
    <s v="No"/>
    <n v="2025"/>
    <n v="6"/>
    <n v="5.4592677345537757"/>
    <n v="0"/>
    <x v="1"/>
  </r>
  <r>
    <s v="S00065"/>
    <s v="P5717"/>
    <s v="palmerashley"/>
    <x v="4"/>
    <x v="2"/>
    <x v="0"/>
    <x v="51"/>
    <n v="7"/>
    <n v="0"/>
    <x v="0"/>
    <x v="3"/>
    <x v="0"/>
    <n v="32"/>
    <s v="No"/>
    <n v="2025"/>
    <n v="2"/>
    <n v="5.4486238532110089"/>
    <n v="0"/>
    <x v="1"/>
  </r>
  <r>
    <s v="S00066"/>
    <s v="P2499"/>
    <s v="mbowen"/>
    <x v="4"/>
    <x v="2"/>
    <x v="1"/>
    <x v="45"/>
    <n v="152"/>
    <n v="0"/>
    <x v="0"/>
    <x v="0"/>
    <x v="0"/>
    <n v="21"/>
    <s v="Yes"/>
    <n v="2025"/>
    <n v="6"/>
    <n v="5.4611494252873563"/>
    <n v="1"/>
    <x v="1"/>
  </r>
  <r>
    <s v="S00067"/>
    <s v="P9667"/>
    <s v="harrisonsteven"/>
    <x v="2"/>
    <x v="2"/>
    <x v="5"/>
    <x v="52"/>
    <n v="64"/>
    <n v="0"/>
    <x v="0"/>
    <x v="2"/>
    <x v="0"/>
    <n v="13"/>
    <s v="No"/>
    <n v="2025"/>
    <n v="1"/>
    <n v="5.4737327188940093"/>
    <n v="0"/>
    <x v="1"/>
  </r>
  <r>
    <s v="S00068"/>
    <s v="P9995"/>
    <s v="tinapreston"/>
    <x v="0"/>
    <x v="0"/>
    <x v="2"/>
    <x v="53"/>
    <n v="165"/>
    <n v="0"/>
    <x v="0"/>
    <x v="0"/>
    <x v="0"/>
    <n v="41"/>
    <s v="Yes"/>
    <n v="2025"/>
    <n v="6"/>
    <n v="5.4863741339491918"/>
    <n v="1"/>
    <x v="1"/>
  </r>
  <r>
    <s v="S00069"/>
    <s v="P8527"/>
    <s v="claudiasilva"/>
    <x v="4"/>
    <x v="0"/>
    <x v="0"/>
    <x v="54"/>
    <n v="165"/>
    <n v="0"/>
    <x v="0"/>
    <x v="0"/>
    <x v="0"/>
    <n v="15"/>
    <s v="Yes"/>
    <n v="2025"/>
    <n v="1"/>
    <n v="5.4990740740740742"/>
    <n v="1"/>
    <x v="1"/>
  </r>
  <r>
    <s v="S00070"/>
    <s v="P6322"/>
    <s v="noah21"/>
    <x v="3"/>
    <x v="2"/>
    <x v="5"/>
    <x v="55"/>
    <n v="79"/>
    <n v="0"/>
    <x v="0"/>
    <x v="2"/>
    <x v="0"/>
    <n v="18"/>
    <s v="No"/>
    <n v="2025"/>
    <n v="1"/>
    <n v="5.5118329466357308"/>
    <n v="0"/>
    <x v="1"/>
  </r>
  <r>
    <s v="S00071"/>
    <s v="P8019"/>
    <s v="nwatkins"/>
    <x v="4"/>
    <x v="2"/>
    <x v="1"/>
    <x v="3"/>
    <n v="81"/>
    <n v="0"/>
    <x v="0"/>
    <x v="2"/>
    <x v="0"/>
    <n v="37"/>
    <s v="No"/>
    <n v="2025"/>
    <n v="6"/>
    <n v="5.5246511627906978"/>
    <n v="0"/>
    <x v="1"/>
  </r>
  <r>
    <s v="S00072"/>
    <s v="P3539"/>
    <s v="martinderrick"/>
    <x v="1"/>
    <x v="0"/>
    <x v="4"/>
    <x v="56"/>
    <n v="84"/>
    <n v="0"/>
    <x v="0"/>
    <x v="0"/>
    <x v="0"/>
    <n v="11"/>
    <s v="No"/>
    <n v="2025"/>
    <n v="1"/>
    <n v="5.5375291375291376"/>
    <n v="1"/>
    <x v="1"/>
  </r>
  <r>
    <s v="S00073"/>
    <s v="P8666"/>
    <s v="craiggail"/>
    <x v="2"/>
    <x v="1"/>
    <x v="2"/>
    <x v="57"/>
    <n v="79"/>
    <n v="0"/>
    <x v="0"/>
    <x v="0"/>
    <x v="0"/>
    <n v="49"/>
    <s v="No"/>
    <n v="2025"/>
    <n v="5"/>
    <n v="5.5504672897196263"/>
    <n v="1"/>
    <x v="1"/>
  </r>
  <r>
    <s v="S00074"/>
    <s v="P8845"/>
    <s v="connerkevin"/>
    <x v="0"/>
    <x v="0"/>
    <x v="2"/>
    <x v="58"/>
    <n v="147"/>
    <n v="0"/>
    <x v="0"/>
    <x v="0"/>
    <x v="0"/>
    <n v="14"/>
    <s v="No"/>
    <n v="2025"/>
    <n v="1"/>
    <n v="5.563466042154567"/>
    <n v="1"/>
    <x v="1"/>
  </r>
  <r>
    <s v="S00075"/>
    <s v="P3222"/>
    <s v="fmayer"/>
    <x v="4"/>
    <x v="0"/>
    <x v="5"/>
    <x v="34"/>
    <n v="70"/>
    <n v="0"/>
    <x v="0"/>
    <x v="0"/>
    <x v="0"/>
    <n v="12"/>
    <s v="No"/>
    <n v="2025"/>
    <n v="4"/>
    <n v="5.5765258215962437"/>
    <n v="1"/>
    <x v="1"/>
  </r>
  <r>
    <s v="S00076"/>
    <s v="P1269"/>
    <s v="bryantdawn"/>
    <x v="2"/>
    <x v="2"/>
    <x v="0"/>
    <x v="59"/>
    <n v="33"/>
    <n v="16.41"/>
    <x v="1"/>
    <x v="3"/>
    <x v="1"/>
    <n v="30"/>
    <s v="No"/>
    <n v="2025"/>
    <n v="6"/>
    <n v="5.5896470588235294"/>
    <n v="0"/>
    <x v="1"/>
  </r>
  <r>
    <s v="S00077"/>
    <s v="P6534"/>
    <s v="lindsay74"/>
    <x v="2"/>
    <x v="2"/>
    <x v="5"/>
    <x v="27"/>
    <n v="128"/>
    <n v="0"/>
    <x v="0"/>
    <x v="3"/>
    <x v="0"/>
    <n v="40"/>
    <s v="No"/>
    <n v="2025"/>
    <n v="2"/>
    <n v="5.5641273584905644"/>
    <n v="0"/>
    <x v="1"/>
  </r>
  <r>
    <s v="S00078"/>
    <s v="P1662"/>
    <s v="ehill"/>
    <x v="2"/>
    <x v="0"/>
    <x v="1"/>
    <x v="60"/>
    <n v="28"/>
    <n v="0"/>
    <x v="0"/>
    <x v="0"/>
    <x v="0"/>
    <n v="4"/>
    <s v="No"/>
    <n v="2025"/>
    <n v="6"/>
    <n v="5.5772813238770667"/>
    <n v="1"/>
    <x v="1"/>
  </r>
  <r>
    <s v="S00079"/>
    <s v="P9765"/>
    <s v="hannah41"/>
    <x v="2"/>
    <x v="2"/>
    <x v="2"/>
    <x v="5"/>
    <n v="112"/>
    <n v="0"/>
    <x v="0"/>
    <x v="0"/>
    <x v="0"/>
    <n v="21"/>
    <s v="No"/>
    <n v="2025"/>
    <n v="3"/>
    <n v="5.5904976303317513"/>
    <n v="1"/>
    <x v="1"/>
  </r>
  <r>
    <s v="S00080"/>
    <s v="P2463"/>
    <s v="bentonashley"/>
    <x v="2"/>
    <x v="1"/>
    <x v="4"/>
    <x v="26"/>
    <n v="175"/>
    <n v="27.19"/>
    <x v="4"/>
    <x v="0"/>
    <x v="1"/>
    <n v="1"/>
    <s v="Yes"/>
    <n v="2025"/>
    <n v="5"/>
    <n v="5.6037767220902595"/>
    <n v="1"/>
    <x v="0"/>
  </r>
  <r>
    <s v="S00081"/>
    <s v="P3235"/>
    <s v="kellyhill"/>
    <x v="3"/>
    <x v="2"/>
    <x v="1"/>
    <x v="61"/>
    <n v="60"/>
    <n v="0"/>
    <x v="0"/>
    <x v="0"/>
    <x v="0"/>
    <n v="44"/>
    <s v="No"/>
    <n v="2025"/>
    <n v="6"/>
    <n v="5.5523809523809504"/>
    <n v="1"/>
    <x v="1"/>
  </r>
  <r>
    <s v="S00082"/>
    <s v="P7193"/>
    <s v="tlloyd"/>
    <x v="1"/>
    <x v="2"/>
    <x v="4"/>
    <x v="50"/>
    <n v="144"/>
    <n v="0"/>
    <x v="0"/>
    <x v="0"/>
    <x v="0"/>
    <n v="35"/>
    <s v="No"/>
    <n v="2025"/>
    <n v="3"/>
    <n v="5.5656324582338881"/>
    <n v="1"/>
    <x v="1"/>
  </r>
  <r>
    <s v="S00083"/>
    <s v="P1366"/>
    <s v="robinatkinson"/>
    <x v="2"/>
    <x v="2"/>
    <x v="0"/>
    <x v="62"/>
    <n v="47"/>
    <n v="0"/>
    <x v="0"/>
    <x v="1"/>
    <x v="0"/>
    <n v="50"/>
    <s v="No"/>
    <n v="2025"/>
    <n v="5"/>
    <n v="5.5789473684210504"/>
    <n v="0"/>
    <x v="1"/>
  </r>
  <r>
    <s v="S00084"/>
    <s v="P3144"/>
    <s v="karen96"/>
    <x v="3"/>
    <x v="1"/>
    <x v="4"/>
    <x v="63"/>
    <n v="53"/>
    <n v="0"/>
    <x v="0"/>
    <x v="0"/>
    <x v="0"/>
    <n v="4"/>
    <s v="No"/>
    <n v="2025"/>
    <n v="1"/>
    <n v="5.5923261390887271"/>
    <n v="1"/>
    <x v="1"/>
  </r>
  <r>
    <s v="S00085"/>
    <s v="P2977"/>
    <s v="mark79"/>
    <x v="4"/>
    <x v="0"/>
    <x v="0"/>
    <x v="10"/>
    <n v="43"/>
    <n v="0"/>
    <x v="0"/>
    <x v="0"/>
    <x v="0"/>
    <n v="20"/>
    <s v="No"/>
    <n v="2025"/>
    <n v="4"/>
    <n v="5.6057692307692282"/>
    <n v="1"/>
    <x v="1"/>
  </r>
  <r>
    <s v="S00086"/>
    <s v="P8703"/>
    <s v="wayne88"/>
    <x v="0"/>
    <x v="2"/>
    <x v="4"/>
    <x v="64"/>
    <n v="11"/>
    <n v="0"/>
    <x v="0"/>
    <x v="1"/>
    <x v="0"/>
    <n v="18"/>
    <s v="No"/>
    <n v="2025"/>
    <n v="2"/>
    <n v="5.6192771084337325"/>
    <n v="0"/>
    <x v="1"/>
  </r>
  <r>
    <s v="S00087"/>
    <s v="P9792"/>
    <s v="jack75"/>
    <x v="0"/>
    <x v="0"/>
    <x v="4"/>
    <x v="14"/>
    <n v="100"/>
    <n v="0"/>
    <x v="0"/>
    <x v="0"/>
    <x v="0"/>
    <n v="50"/>
    <s v="No"/>
    <n v="2025"/>
    <n v="3"/>
    <n v="5.6328502415458912"/>
    <n v="1"/>
    <x v="1"/>
  </r>
  <r>
    <s v="S00088"/>
    <s v="P5000"/>
    <s v="shenderson"/>
    <x v="2"/>
    <x v="2"/>
    <x v="2"/>
    <x v="40"/>
    <n v="54"/>
    <n v="35.79"/>
    <x v="4"/>
    <x v="0"/>
    <x v="1"/>
    <n v="42"/>
    <s v="No"/>
    <n v="2025"/>
    <n v="2"/>
    <n v="5.6464891041162204"/>
    <n v="1"/>
    <x v="1"/>
  </r>
  <r>
    <s v="S00089"/>
    <s v="P5536"/>
    <s v="manderson"/>
    <x v="1"/>
    <x v="1"/>
    <x v="0"/>
    <x v="65"/>
    <n v="92"/>
    <n v="0"/>
    <x v="0"/>
    <x v="3"/>
    <x v="0"/>
    <n v="21"/>
    <s v="No"/>
    <n v="2024"/>
    <n v="12"/>
    <n v="5.5733252427184441"/>
    <n v="0"/>
    <x v="1"/>
  </r>
  <r>
    <s v="S00090"/>
    <s v="P3420"/>
    <s v="boylejeffrey"/>
    <x v="4"/>
    <x v="1"/>
    <x v="3"/>
    <x v="66"/>
    <n v="115"/>
    <n v="0"/>
    <x v="0"/>
    <x v="0"/>
    <x v="0"/>
    <n v="17"/>
    <s v="No"/>
    <n v="2025"/>
    <n v="1"/>
    <n v="5.586885644768854"/>
    <n v="1"/>
    <x v="1"/>
  </r>
  <r>
    <s v="S00091"/>
    <s v="P6128"/>
    <s v="justinvargas"/>
    <x v="3"/>
    <x v="0"/>
    <x v="5"/>
    <x v="61"/>
    <n v="76"/>
    <n v="0"/>
    <x v="0"/>
    <x v="0"/>
    <x v="0"/>
    <n v="44"/>
    <s v="No"/>
    <n v="2025"/>
    <n v="6"/>
    <n v="5.600512195121949"/>
    <n v="1"/>
    <x v="1"/>
  </r>
  <r>
    <s v="S00092"/>
    <s v="P2205"/>
    <s v="smullins"/>
    <x v="0"/>
    <x v="0"/>
    <x v="4"/>
    <x v="67"/>
    <n v="81"/>
    <n v="0"/>
    <x v="0"/>
    <x v="1"/>
    <x v="0"/>
    <n v="46"/>
    <s v="No"/>
    <n v="2025"/>
    <n v="4"/>
    <n v="5.6142053789731028"/>
    <n v="0"/>
    <x v="1"/>
  </r>
  <r>
    <s v="S00093"/>
    <s v="P5817"/>
    <s v="cynthiasimmons"/>
    <x v="0"/>
    <x v="1"/>
    <x v="2"/>
    <x v="68"/>
    <n v="154"/>
    <n v="0"/>
    <x v="0"/>
    <x v="0"/>
    <x v="0"/>
    <n v="11"/>
    <s v="Yes"/>
    <n v="2024"/>
    <n v="12"/>
    <n v="5.627965686274508"/>
    <n v="1"/>
    <x v="1"/>
  </r>
  <r>
    <s v="S00094"/>
    <s v="P6677"/>
    <s v="qwatson"/>
    <x v="2"/>
    <x v="0"/>
    <x v="3"/>
    <x v="69"/>
    <n v="143"/>
    <n v="0"/>
    <x v="0"/>
    <x v="2"/>
    <x v="0"/>
    <n v="10"/>
    <s v="No"/>
    <n v="2025"/>
    <n v="3"/>
    <n v="5.6417936117936094"/>
    <n v="0"/>
    <x v="1"/>
  </r>
  <r>
    <s v="S00095"/>
    <s v="P5248"/>
    <s v="xreed"/>
    <x v="3"/>
    <x v="2"/>
    <x v="4"/>
    <x v="26"/>
    <n v="123"/>
    <n v="26.85"/>
    <x v="3"/>
    <x v="1"/>
    <x v="1"/>
    <n v="32"/>
    <s v="No"/>
    <n v="2025"/>
    <n v="5"/>
    <n v="5.6556896551724121"/>
    <n v="0"/>
    <x v="1"/>
  </r>
  <r>
    <s v="S00096"/>
    <s v="P7669"/>
    <s v="melanie00"/>
    <x v="2"/>
    <x v="0"/>
    <x v="1"/>
    <x v="70"/>
    <n v="158"/>
    <n v="0"/>
    <x v="0"/>
    <x v="0"/>
    <x v="1"/>
    <n v="17"/>
    <s v="Yes"/>
    <n v="2025"/>
    <n v="2"/>
    <n v="5.6033580246913557"/>
    <n v="1"/>
    <x v="1"/>
  </r>
  <r>
    <s v="S00097"/>
    <s v="P1126"/>
    <s v="richardward"/>
    <x v="1"/>
    <x v="2"/>
    <x v="5"/>
    <x v="71"/>
    <n v="122"/>
    <n v="0"/>
    <x v="0"/>
    <x v="0"/>
    <x v="0"/>
    <n v="9"/>
    <s v="No"/>
    <n v="2025"/>
    <n v="2"/>
    <n v="5.6172277227722756"/>
    <n v="1"/>
    <x v="1"/>
  </r>
  <r>
    <s v="S00098"/>
    <s v="P8252"/>
    <s v="riggsbarbara"/>
    <x v="2"/>
    <x v="0"/>
    <x v="3"/>
    <x v="68"/>
    <n v="164"/>
    <n v="0"/>
    <x v="0"/>
    <x v="0"/>
    <x v="1"/>
    <n v="19"/>
    <s v="Yes"/>
    <n v="2024"/>
    <n v="12"/>
    <n v="5.6311662531017355"/>
    <n v="1"/>
    <x v="1"/>
  </r>
  <r>
    <s v="S00099"/>
    <s v="P9800"/>
    <s v="sroach"/>
    <x v="4"/>
    <x v="0"/>
    <x v="0"/>
    <x v="22"/>
    <n v="173"/>
    <n v="0"/>
    <x v="0"/>
    <x v="0"/>
    <x v="0"/>
    <n v="37"/>
    <s v="Yes"/>
    <n v="2025"/>
    <n v="3"/>
    <n v="5.645174129353232"/>
    <n v="1"/>
    <x v="0"/>
  </r>
  <r>
    <s v="S00100"/>
    <s v="P5367"/>
    <s v="jeffreyluna"/>
    <x v="4"/>
    <x v="0"/>
    <x v="0"/>
    <x v="72"/>
    <n v="107"/>
    <n v="0"/>
    <x v="0"/>
    <x v="3"/>
    <x v="0"/>
    <n v="13"/>
    <s v="No"/>
    <n v="2025"/>
    <n v="5"/>
    <n v="5.6592518703241872"/>
    <n v="0"/>
    <x v="1"/>
  </r>
  <r>
    <s v="S00101"/>
    <s v="P6401"/>
    <s v="chavezmelissa"/>
    <x v="0"/>
    <x v="1"/>
    <x v="2"/>
    <x v="34"/>
    <n v="34"/>
    <n v="15.26"/>
    <x v="4"/>
    <x v="0"/>
    <x v="1"/>
    <n v="11"/>
    <s v="No"/>
    <n v="2025"/>
    <n v="4"/>
    <n v="5.6733999999999982"/>
    <n v="1"/>
    <x v="1"/>
  </r>
  <r>
    <s v="S00102"/>
    <s v="P1736"/>
    <s v="qserrano"/>
    <x v="1"/>
    <x v="1"/>
    <x v="0"/>
    <x v="63"/>
    <n v="180"/>
    <n v="0"/>
    <x v="0"/>
    <x v="0"/>
    <x v="0"/>
    <n v="28"/>
    <s v="Yes"/>
    <n v="2025"/>
    <n v="1"/>
    <n v="5.6493734335839587"/>
    <n v="1"/>
    <x v="0"/>
  </r>
  <r>
    <s v="S00103"/>
    <s v="P5013"/>
    <s v="angelabutler"/>
    <x v="4"/>
    <x v="1"/>
    <x v="3"/>
    <x v="73"/>
    <n v="41"/>
    <n v="0"/>
    <x v="0"/>
    <x v="2"/>
    <x v="0"/>
    <n v="47"/>
    <s v="No"/>
    <n v="2025"/>
    <n v="1"/>
    <n v="5.6635678391959789"/>
    <n v="0"/>
    <x v="1"/>
  </r>
  <r>
    <s v="S00104"/>
    <s v="P9492"/>
    <s v="ggriffith"/>
    <x v="4"/>
    <x v="0"/>
    <x v="5"/>
    <x v="74"/>
    <n v="90"/>
    <n v="0"/>
    <x v="0"/>
    <x v="0"/>
    <x v="0"/>
    <n v="3"/>
    <s v="No"/>
    <n v="2025"/>
    <n v="5"/>
    <n v="5.6778337531486134"/>
    <n v="1"/>
    <x v="1"/>
  </r>
  <r>
    <s v="S00105"/>
    <s v="P2590"/>
    <s v="chrisperkins"/>
    <x v="3"/>
    <x v="0"/>
    <x v="1"/>
    <x v="75"/>
    <n v="64"/>
    <n v="0"/>
    <x v="0"/>
    <x v="0"/>
    <x v="0"/>
    <n v="50"/>
    <s v="No"/>
    <n v="2025"/>
    <n v="5"/>
    <n v="5.6921717171717159"/>
    <n v="1"/>
    <x v="1"/>
  </r>
  <r>
    <s v="S00106"/>
    <s v="P8823"/>
    <s v="blakewallace"/>
    <x v="0"/>
    <x v="1"/>
    <x v="1"/>
    <x v="17"/>
    <n v="101"/>
    <n v="0"/>
    <x v="0"/>
    <x v="0"/>
    <x v="0"/>
    <n v="6"/>
    <s v="No"/>
    <n v="2025"/>
    <n v="1"/>
    <n v="5.7065822784810116"/>
    <n v="1"/>
    <x v="1"/>
  </r>
  <r>
    <s v="S00107"/>
    <s v="P1933"/>
    <s v="ismith"/>
    <x v="0"/>
    <x v="2"/>
    <x v="2"/>
    <x v="76"/>
    <n v="21"/>
    <n v="36.340000000000003"/>
    <x v="2"/>
    <x v="0"/>
    <x v="1"/>
    <n v="24"/>
    <s v="No"/>
    <n v="2025"/>
    <n v="4"/>
    <n v="5.7210659898477143"/>
    <n v="1"/>
    <x v="1"/>
  </r>
  <r>
    <s v="S00108"/>
    <s v="P4776"/>
    <s v="amydunn"/>
    <x v="4"/>
    <x v="0"/>
    <x v="5"/>
    <x v="77"/>
    <n v="153"/>
    <n v="0"/>
    <x v="0"/>
    <x v="1"/>
    <x v="0"/>
    <n v="25"/>
    <s v="Yes"/>
    <n v="2025"/>
    <n v="3"/>
    <n v="5.6431552162849856"/>
    <n v="0"/>
    <x v="1"/>
  </r>
  <r>
    <s v="S00109"/>
    <s v="P2082"/>
    <s v="awise"/>
    <x v="4"/>
    <x v="2"/>
    <x v="3"/>
    <x v="78"/>
    <n v="153"/>
    <n v="0"/>
    <x v="0"/>
    <x v="0"/>
    <x v="0"/>
    <n v="48"/>
    <s v="Yes"/>
    <n v="2025"/>
    <n v="6"/>
    <n v="5.6575510204081612"/>
    <n v="1"/>
    <x v="1"/>
  </r>
  <r>
    <s v="S00110"/>
    <s v="P9730"/>
    <s v="jennifer33"/>
    <x v="0"/>
    <x v="2"/>
    <x v="2"/>
    <x v="4"/>
    <n v="164"/>
    <n v="0"/>
    <x v="0"/>
    <x v="1"/>
    <x v="1"/>
    <n v="39"/>
    <s v="Yes"/>
    <n v="2025"/>
    <n v="5"/>
    <n v="5.6720204603580546"/>
    <n v="0"/>
    <x v="1"/>
  </r>
  <r>
    <s v="S00111"/>
    <s v="P1583"/>
    <s v="heatherpayne"/>
    <x v="0"/>
    <x v="2"/>
    <x v="1"/>
    <x v="79"/>
    <n v="165"/>
    <n v="0"/>
    <x v="0"/>
    <x v="1"/>
    <x v="0"/>
    <n v="48"/>
    <s v="Yes"/>
    <n v="2024"/>
    <n v="12"/>
    <n v="5.6865641025641009"/>
    <n v="0"/>
    <x v="1"/>
  </r>
  <r>
    <s v="S00112"/>
    <s v="P3011"/>
    <s v="keithmaddox"/>
    <x v="0"/>
    <x v="1"/>
    <x v="1"/>
    <x v="80"/>
    <n v="172"/>
    <n v="0"/>
    <x v="0"/>
    <x v="0"/>
    <x v="0"/>
    <n v="50"/>
    <s v="Yes"/>
    <n v="2025"/>
    <n v="5"/>
    <n v="5.7011825192802039"/>
    <n v="1"/>
    <x v="1"/>
  </r>
  <r>
    <s v="S00113"/>
    <s v="P7599"/>
    <s v="fuentesmelanie"/>
    <x v="0"/>
    <x v="2"/>
    <x v="2"/>
    <x v="40"/>
    <n v="33"/>
    <n v="0"/>
    <x v="0"/>
    <x v="0"/>
    <x v="0"/>
    <n v="46"/>
    <s v="No"/>
    <n v="2025"/>
    <n v="2"/>
    <n v="5.7158762886597918"/>
    <n v="1"/>
    <x v="1"/>
  </r>
  <r>
    <s v="S00114"/>
    <s v="P2615"/>
    <s v="melissa89"/>
    <x v="1"/>
    <x v="1"/>
    <x v="1"/>
    <x v="81"/>
    <n v="89"/>
    <n v="30.92"/>
    <x v="1"/>
    <x v="0"/>
    <x v="1"/>
    <n v="48"/>
    <s v="No"/>
    <n v="2024"/>
    <n v="12"/>
    <n v="5.7306459948320398"/>
    <n v="1"/>
    <x v="1"/>
  </r>
  <r>
    <s v="S00115"/>
    <s v="P5890"/>
    <s v="jill75"/>
    <x v="1"/>
    <x v="1"/>
    <x v="4"/>
    <x v="82"/>
    <n v="22"/>
    <n v="28.43"/>
    <x v="3"/>
    <x v="1"/>
    <x v="1"/>
    <n v="36"/>
    <s v="No"/>
    <n v="2025"/>
    <n v="2"/>
    <n v="5.6653886010362671"/>
    <n v="0"/>
    <x v="1"/>
  </r>
  <r>
    <s v="S00116"/>
    <s v="P7715"/>
    <s v="vhart"/>
    <x v="1"/>
    <x v="0"/>
    <x v="3"/>
    <x v="83"/>
    <n v="65"/>
    <n v="0"/>
    <x v="0"/>
    <x v="0"/>
    <x v="0"/>
    <n v="8"/>
    <s v="No"/>
    <n v="2025"/>
    <n v="4"/>
    <n v="5.6062597402597376"/>
    <n v="1"/>
    <x v="1"/>
  </r>
  <r>
    <s v="S00117"/>
    <s v="P4728"/>
    <s v="marilynharrison"/>
    <x v="0"/>
    <x v="2"/>
    <x v="4"/>
    <x v="84"/>
    <n v="22"/>
    <n v="0"/>
    <x v="0"/>
    <x v="0"/>
    <x v="0"/>
    <n v="7"/>
    <s v="No"/>
    <n v="2025"/>
    <n v="2"/>
    <n v="5.6208593749999975"/>
    <n v="1"/>
    <x v="1"/>
  </r>
  <r>
    <s v="S00118"/>
    <s v="P8621"/>
    <s v="davisamy"/>
    <x v="4"/>
    <x v="1"/>
    <x v="3"/>
    <x v="9"/>
    <n v="98"/>
    <n v="0"/>
    <x v="0"/>
    <x v="1"/>
    <x v="0"/>
    <n v="7"/>
    <s v="No"/>
    <n v="2025"/>
    <n v="5"/>
    <n v="5.6355352480417729"/>
    <n v="0"/>
    <x v="1"/>
  </r>
  <r>
    <s v="S00119"/>
    <s v="P4118"/>
    <s v="dorseyemily"/>
    <x v="0"/>
    <x v="0"/>
    <x v="2"/>
    <x v="24"/>
    <n v="63"/>
    <n v="0"/>
    <x v="0"/>
    <x v="0"/>
    <x v="0"/>
    <n v="13"/>
    <s v="No"/>
    <n v="2025"/>
    <n v="5"/>
    <n v="5.6502879581151806"/>
    <n v="1"/>
    <x v="1"/>
  </r>
  <r>
    <s v="S00120"/>
    <s v="P1199"/>
    <s v="garymeyers"/>
    <x v="3"/>
    <x v="2"/>
    <x v="2"/>
    <x v="85"/>
    <n v="45"/>
    <n v="31.67"/>
    <x v="2"/>
    <x v="0"/>
    <x v="1"/>
    <n v="45"/>
    <s v="No"/>
    <n v="2025"/>
    <n v="3"/>
    <n v="5.665118110236218"/>
    <n v="1"/>
    <x v="1"/>
  </r>
  <r>
    <s v="S00121"/>
    <s v="P7130"/>
    <s v="elee"/>
    <x v="3"/>
    <x v="0"/>
    <x v="2"/>
    <x v="86"/>
    <n v="142"/>
    <n v="0"/>
    <x v="0"/>
    <x v="0"/>
    <x v="0"/>
    <n v="3"/>
    <s v="No"/>
    <n v="2025"/>
    <n v="1"/>
    <n v="5.5966842105263144"/>
    <n v="1"/>
    <x v="1"/>
  </r>
  <r>
    <s v="S00122"/>
    <s v="P1992"/>
    <s v="jennifer29"/>
    <x v="2"/>
    <x v="0"/>
    <x v="1"/>
    <x v="59"/>
    <n v="56"/>
    <n v="4.07"/>
    <x v="2"/>
    <x v="0"/>
    <x v="1"/>
    <n v="45"/>
    <s v="No"/>
    <n v="2025"/>
    <n v="6"/>
    <n v="5.6114511873350903"/>
    <n v="1"/>
    <x v="1"/>
  </r>
  <r>
    <s v="S00123"/>
    <s v="P2064"/>
    <s v="davidkelley"/>
    <x v="1"/>
    <x v="1"/>
    <x v="4"/>
    <x v="87"/>
    <n v="156"/>
    <n v="0"/>
    <x v="0"/>
    <x v="0"/>
    <x v="1"/>
    <n v="45"/>
    <s v="Yes"/>
    <n v="2024"/>
    <n v="12"/>
    <n v="5.6155291005290984"/>
    <n v="1"/>
    <x v="1"/>
  </r>
  <r>
    <s v="S00124"/>
    <s v="P9571"/>
    <s v="haroldsawyer"/>
    <x v="4"/>
    <x v="2"/>
    <x v="4"/>
    <x v="88"/>
    <n v="123"/>
    <n v="0"/>
    <x v="0"/>
    <x v="1"/>
    <x v="0"/>
    <n v="12"/>
    <s v="No"/>
    <n v="2025"/>
    <n v="1"/>
    <n v="5.6304244031830217"/>
    <n v="0"/>
    <x v="1"/>
  </r>
  <r>
    <s v="S00125"/>
    <s v="P9017"/>
    <s v="albertkelly"/>
    <x v="1"/>
    <x v="2"/>
    <x v="4"/>
    <x v="78"/>
    <n v="172"/>
    <n v="0"/>
    <x v="0"/>
    <x v="2"/>
    <x v="0"/>
    <n v="21"/>
    <s v="Yes"/>
    <n v="2025"/>
    <n v="6"/>
    <n v="5.6453989361702108"/>
    <n v="0"/>
    <x v="1"/>
  </r>
  <r>
    <s v="S00126"/>
    <s v="P8062"/>
    <s v="chambersnicole"/>
    <x v="1"/>
    <x v="1"/>
    <x v="0"/>
    <x v="89"/>
    <n v="46"/>
    <n v="14.47"/>
    <x v="1"/>
    <x v="2"/>
    <x v="1"/>
    <n v="30"/>
    <s v="No"/>
    <n v="2025"/>
    <n v="1"/>
    <n v="5.6604533333333311"/>
    <n v="0"/>
    <x v="1"/>
  </r>
  <r>
    <s v="S00127"/>
    <s v="P6411"/>
    <s v="jacobsonmichael"/>
    <x v="0"/>
    <x v="0"/>
    <x v="5"/>
    <x v="66"/>
    <n v="153"/>
    <n v="0"/>
    <x v="0"/>
    <x v="2"/>
    <x v="0"/>
    <n v="15"/>
    <s v="Yes"/>
    <n v="2025"/>
    <n v="1"/>
    <n v="5.6368983957219232"/>
    <n v="0"/>
    <x v="1"/>
  </r>
  <r>
    <s v="S00128"/>
    <s v="P4959"/>
    <s v="robert48"/>
    <x v="0"/>
    <x v="1"/>
    <x v="3"/>
    <x v="60"/>
    <n v="128"/>
    <n v="0"/>
    <x v="0"/>
    <x v="1"/>
    <x v="0"/>
    <n v="32"/>
    <s v="No"/>
    <n v="2025"/>
    <n v="6"/>
    <n v="5.6520107238605881"/>
    <n v="0"/>
    <x v="1"/>
  </r>
  <r>
    <s v="S00129"/>
    <s v="P8564"/>
    <s v="wyattsanchez"/>
    <x v="1"/>
    <x v="2"/>
    <x v="4"/>
    <x v="45"/>
    <n v="54"/>
    <n v="0"/>
    <x v="0"/>
    <x v="0"/>
    <x v="0"/>
    <n v="15"/>
    <s v="No"/>
    <n v="2025"/>
    <n v="6"/>
    <n v="5.6672043010752668"/>
    <n v="1"/>
    <x v="1"/>
  </r>
  <r>
    <s v="S00130"/>
    <s v="P9652"/>
    <s v="vedwards"/>
    <x v="1"/>
    <x v="1"/>
    <x v="0"/>
    <x v="90"/>
    <n v="133"/>
    <n v="0"/>
    <x v="0"/>
    <x v="0"/>
    <x v="0"/>
    <n v="35"/>
    <s v="No"/>
    <n v="2025"/>
    <n v="1"/>
    <n v="5.6824797843665751"/>
    <n v="1"/>
    <x v="1"/>
  </r>
  <r>
    <s v="S00131"/>
    <s v="P6617"/>
    <s v="figueroadoris"/>
    <x v="3"/>
    <x v="1"/>
    <x v="4"/>
    <x v="62"/>
    <n v="116"/>
    <n v="0"/>
    <x v="0"/>
    <x v="1"/>
    <x v="0"/>
    <n v="30"/>
    <s v="No"/>
    <n v="2025"/>
    <n v="5"/>
    <n v="5.6978378378378363"/>
    <n v="0"/>
    <x v="1"/>
  </r>
  <r>
    <s v="S00132"/>
    <s v="P2180"/>
    <s v="briansteele"/>
    <x v="1"/>
    <x v="0"/>
    <x v="3"/>
    <x v="81"/>
    <n v="95"/>
    <n v="0"/>
    <x v="0"/>
    <x v="0"/>
    <x v="0"/>
    <n v="20"/>
    <s v="No"/>
    <n v="2024"/>
    <n v="12"/>
    <n v="5.7132791327913264"/>
    <n v="1"/>
    <x v="1"/>
  </r>
  <r>
    <s v="S00133"/>
    <s v="P2956"/>
    <s v="huangdana"/>
    <x v="2"/>
    <x v="2"/>
    <x v="2"/>
    <x v="87"/>
    <n v="107"/>
    <n v="0"/>
    <x v="0"/>
    <x v="3"/>
    <x v="0"/>
    <n v="7"/>
    <s v="No"/>
    <n v="2024"/>
    <n v="12"/>
    <n v="5.7288043478260855"/>
    <n v="0"/>
    <x v="1"/>
  </r>
  <r>
    <s v="S00134"/>
    <s v="P3200"/>
    <s v="robert23"/>
    <x v="2"/>
    <x v="2"/>
    <x v="2"/>
    <x v="91"/>
    <n v="150"/>
    <n v="0"/>
    <x v="0"/>
    <x v="0"/>
    <x v="0"/>
    <n v="47"/>
    <s v="No"/>
    <n v="2025"/>
    <n v="4"/>
    <n v="5.744414168937328"/>
    <n v="1"/>
    <x v="1"/>
  </r>
  <r>
    <s v="S00135"/>
    <s v="P9368"/>
    <s v="thomasmonica"/>
    <x v="2"/>
    <x v="2"/>
    <x v="0"/>
    <x v="41"/>
    <n v="175"/>
    <n v="0"/>
    <x v="0"/>
    <x v="0"/>
    <x v="0"/>
    <n v="49"/>
    <s v="Yes"/>
    <n v="2025"/>
    <n v="1"/>
    <n v="5.7601092896174846"/>
    <n v="1"/>
    <x v="0"/>
  </r>
  <r>
    <s v="S00136"/>
    <s v="P7857"/>
    <s v="griffithbilly"/>
    <x v="1"/>
    <x v="2"/>
    <x v="2"/>
    <x v="92"/>
    <n v="26"/>
    <n v="23.57"/>
    <x v="3"/>
    <x v="0"/>
    <x v="1"/>
    <n v="10"/>
    <s v="No"/>
    <n v="2025"/>
    <n v="1"/>
    <n v="5.775890410958902"/>
    <n v="1"/>
    <x v="1"/>
  </r>
  <r>
    <s v="S00137"/>
    <s v="P4039"/>
    <s v="alanguerrero"/>
    <x v="2"/>
    <x v="2"/>
    <x v="1"/>
    <x v="13"/>
    <n v="115"/>
    <n v="0"/>
    <x v="0"/>
    <x v="1"/>
    <x v="0"/>
    <n v="42"/>
    <s v="No"/>
    <n v="2025"/>
    <n v="5"/>
    <n v="5.7270054945054936"/>
    <n v="0"/>
    <x v="1"/>
  </r>
  <r>
    <s v="S00138"/>
    <s v="P8823"/>
    <s v="timothy18"/>
    <x v="0"/>
    <x v="2"/>
    <x v="2"/>
    <x v="93"/>
    <n v="72"/>
    <n v="0"/>
    <x v="0"/>
    <x v="0"/>
    <x v="1"/>
    <n v="6"/>
    <s v="No"/>
    <n v="2025"/>
    <n v="4"/>
    <n v="5.7427823691460045"/>
    <n v="1"/>
    <x v="1"/>
  </r>
  <r>
    <s v="S00139"/>
    <s v="P4544"/>
    <s v="martinrobert"/>
    <x v="3"/>
    <x v="0"/>
    <x v="5"/>
    <x v="45"/>
    <n v="137"/>
    <n v="0"/>
    <x v="0"/>
    <x v="3"/>
    <x v="0"/>
    <n v="28"/>
    <s v="No"/>
    <n v="2025"/>
    <n v="6"/>
    <n v="5.7586464088397777"/>
    <n v="0"/>
    <x v="1"/>
  </r>
  <r>
    <s v="S00140"/>
    <s v="P4842"/>
    <s v="deckeramanda"/>
    <x v="2"/>
    <x v="0"/>
    <x v="5"/>
    <x v="6"/>
    <n v="145"/>
    <n v="0"/>
    <x v="0"/>
    <x v="0"/>
    <x v="1"/>
    <n v="36"/>
    <s v="No"/>
    <n v="2025"/>
    <n v="4"/>
    <n v="5.7745983379501373"/>
    <n v="1"/>
    <x v="1"/>
  </r>
  <r>
    <s v="S00141"/>
    <s v="P2727"/>
    <s v="allison25"/>
    <x v="2"/>
    <x v="1"/>
    <x v="3"/>
    <x v="25"/>
    <n v="46"/>
    <n v="0"/>
    <x v="0"/>
    <x v="0"/>
    <x v="0"/>
    <n v="17"/>
    <s v="No"/>
    <n v="2025"/>
    <n v="3"/>
    <n v="5.7906388888888882"/>
    <n v="1"/>
    <x v="1"/>
  </r>
  <r>
    <s v="S00142"/>
    <s v="P7235"/>
    <s v="reedchad"/>
    <x v="3"/>
    <x v="2"/>
    <x v="5"/>
    <x v="17"/>
    <n v="106"/>
    <n v="0"/>
    <x v="0"/>
    <x v="0"/>
    <x v="0"/>
    <n v="15"/>
    <s v="No"/>
    <n v="2025"/>
    <n v="1"/>
    <n v="5.8067688022284116"/>
    <n v="1"/>
    <x v="1"/>
  </r>
  <r>
    <s v="S00143"/>
    <s v="P8203"/>
    <s v="kennedyjacob"/>
    <x v="0"/>
    <x v="1"/>
    <x v="3"/>
    <x v="94"/>
    <n v="48"/>
    <n v="46.63"/>
    <x v="3"/>
    <x v="0"/>
    <x v="1"/>
    <n v="42"/>
    <s v="Yes"/>
    <n v="2025"/>
    <n v="2"/>
    <n v="5.8229888268156413"/>
    <n v="1"/>
    <x v="1"/>
  </r>
  <r>
    <s v="S00144"/>
    <s v="P2317"/>
    <s v="robertohobbs"/>
    <x v="1"/>
    <x v="0"/>
    <x v="5"/>
    <x v="18"/>
    <n v="83"/>
    <n v="0"/>
    <x v="0"/>
    <x v="0"/>
    <x v="0"/>
    <n v="25"/>
    <s v="No"/>
    <n v="2025"/>
    <n v="4"/>
    <n v="5.7086834733893541"/>
    <n v="1"/>
    <x v="1"/>
  </r>
  <r>
    <s v="S00145"/>
    <s v="P1686"/>
    <s v="michellemurphy"/>
    <x v="3"/>
    <x v="0"/>
    <x v="1"/>
    <x v="95"/>
    <n v="146"/>
    <n v="0"/>
    <x v="0"/>
    <x v="0"/>
    <x v="0"/>
    <n v="28"/>
    <s v="No"/>
    <n v="2024"/>
    <n v="12"/>
    <n v="5.7247191011235934"/>
    <n v="1"/>
    <x v="1"/>
  </r>
  <r>
    <s v="S00146"/>
    <s v="P3775"/>
    <s v="castillowilliam"/>
    <x v="3"/>
    <x v="0"/>
    <x v="2"/>
    <x v="51"/>
    <n v="18"/>
    <n v="0"/>
    <x v="0"/>
    <x v="0"/>
    <x v="0"/>
    <n v="47"/>
    <s v="No"/>
    <n v="2025"/>
    <n v="2"/>
    <n v="5.7408450704225329"/>
    <n v="1"/>
    <x v="1"/>
  </r>
  <r>
    <s v="S00147"/>
    <s v="P2026"/>
    <s v="manuel15"/>
    <x v="2"/>
    <x v="2"/>
    <x v="2"/>
    <x v="67"/>
    <n v="136"/>
    <n v="0"/>
    <x v="0"/>
    <x v="0"/>
    <x v="0"/>
    <n v="23"/>
    <s v="No"/>
    <n v="2025"/>
    <n v="4"/>
    <n v="5.7570621468926531"/>
    <n v="1"/>
    <x v="1"/>
  </r>
  <r>
    <s v="S00148"/>
    <s v="P6441"/>
    <s v="melissa77"/>
    <x v="4"/>
    <x v="0"/>
    <x v="0"/>
    <x v="96"/>
    <n v="99"/>
    <n v="0"/>
    <x v="0"/>
    <x v="0"/>
    <x v="0"/>
    <n v="2"/>
    <s v="No"/>
    <n v="2025"/>
    <n v="1"/>
    <n v="5.7733711048158618"/>
    <n v="1"/>
    <x v="1"/>
  </r>
  <r>
    <s v="S00149"/>
    <s v="P2573"/>
    <s v="pkim"/>
    <x v="4"/>
    <x v="1"/>
    <x v="1"/>
    <x v="97"/>
    <n v="133"/>
    <n v="0"/>
    <x v="0"/>
    <x v="0"/>
    <x v="0"/>
    <n v="26"/>
    <s v="No"/>
    <n v="2025"/>
    <n v="2"/>
    <n v="5.7897727272727257"/>
    <n v="1"/>
    <x v="1"/>
  </r>
  <r>
    <s v="S00150"/>
    <s v="P2593"/>
    <s v="erinjones"/>
    <x v="0"/>
    <x v="0"/>
    <x v="1"/>
    <x v="98"/>
    <n v="54"/>
    <n v="0"/>
    <x v="0"/>
    <x v="0"/>
    <x v="0"/>
    <n v="5"/>
    <s v="No"/>
    <n v="2025"/>
    <n v="3"/>
    <n v="5.8062678062678046"/>
    <n v="1"/>
    <x v="1"/>
  </r>
  <r>
    <s v="S00151"/>
    <s v="P5644"/>
    <s v="harrispamela"/>
    <x v="4"/>
    <x v="2"/>
    <x v="2"/>
    <x v="7"/>
    <n v="169"/>
    <n v="0"/>
    <x v="0"/>
    <x v="0"/>
    <x v="0"/>
    <n v="30"/>
    <s v="Yes"/>
    <n v="2025"/>
    <n v="1"/>
    <n v="5.8228571428571412"/>
    <n v="1"/>
    <x v="1"/>
  </r>
  <r>
    <s v="S00152"/>
    <s v="P5906"/>
    <s v="onoble"/>
    <x v="4"/>
    <x v="0"/>
    <x v="5"/>
    <x v="99"/>
    <n v="8"/>
    <n v="39.119999999999997"/>
    <x v="1"/>
    <x v="0"/>
    <x v="1"/>
    <n v="48"/>
    <s v="No"/>
    <n v="2025"/>
    <n v="3"/>
    <n v="5.8395415472779346"/>
    <n v="1"/>
    <x v="1"/>
  </r>
  <r>
    <s v="S00153"/>
    <s v="P4716"/>
    <s v="jamie88"/>
    <x v="3"/>
    <x v="0"/>
    <x v="5"/>
    <x v="8"/>
    <n v="27"/>
    <n v="2.64"/>
    <x v="2"/>
    <x v="0"/>
    <x v="1"/>
    <n v="3"/>
    <s v="No"/>
    <n v="2025"/>
    <n v="2"/>
    <n v="5.74390804597701"/>
    <n v="1"/>
    <x v="1"/>
  </r>
  <r>
    <s v="S00154"/>
    <s v="P8055"/>
    <s v="davidsingleton"/>
    <x v="0"/>
    <x v="1"/>
    <x v="5"/>
    <x v="35"/>
    <n v="118"/>
    <n v="46.55"/>
    <x v="3"/>
    <x v="0"/>
    <x v="1"/>
    <n v="45"/>
    <s v="Yes"/>
    <n v="2025"/>
    <n v="3"/>
    <n v="5.7528530259365978"/>
    <n v="1"/>
    <x v="1"/>
  </r>
  <r>
    <s v="S00155"/>
    <s v="P2328"/>
    <s v="byrdevelyn"/>
    <x v="1"/>
    <x v="1"/>
    <x v="3"/>
    <x v="100"/>
    <n v="171"/>
    <n v="18.03"/>
    <x v="4"/>
    <x v="0"/>
    <x v="1"/>
    <n v="43"/>
    <s v="Yes"/>
    <n v="2025"/>
    <n v="5"/>
    <n v="5.6349421965317905"/>
    <n v="1"/>
    <x v="1"/>
  </r>
  <r>
    <s v="S00156"/>
    <s v="P2755"/>
    <s v="ivan06"/>
    <x v="3"/>
    <x v="1"/>
    <x v="2"/>
    <x v="10"/>
    <n v="55"/>
    <n v="0"/>
    <x v="0"/>
    <x v="0"/>
    <x v="0"/>
    <n v="29"/>
    <s v="No"/>
    <n v="2025"/>
    <n v="4"/>
    <n v="5.5990144927536214"/>
    <n v="1"/>
    <x v="1"/>
  </r>
  <r>
    <s v="S00157"/>
    <s v="P5941"/>
    <s v="gabriellogan"/>
    <x v="0"/>
    <x v="0"/>
    <x v="3"/>
    <x v="101"/>
    <n v="37"/>
    <n v="0"/>
    <x v="0"/>
    <x v="2"/>
    <x v="0"/>
    <n v="1"/>
    <s v="No"/>
    <n v="2025"/>
    <n v="2"/>
    <n v="5.6152906976744168"/>
    <n v="0"/>
    <x v="1"/>
  </r>
  <r>
    <s v="S00158"/>
    <s v="P4783"/>
    <s v="gsmith"/>
    <x v="4"/>
    <x v="0"/>
    <x v="5"/>
    <x v="102"/>
    <n v="79"/>
    <n v="0"/>
    <x v="0"/>
    <x v="0"/>
    <x v="0"/>
    <n v="44"/>
    <s v="No"/>
    <n v="2025"/>
    <n v="2"/>
    <n v="5.6316618075801728"/>
    <n v="1"/>
    <x v="1"/>
  </r>
  <r>
    <s v="S00159"/>
    <s v="P7795"/>
    <s v="morrismelissa"/>
    <x v="3"/>
    <x v="0"/>
    <x v="4"/>
    <x v="103"/>
    <n v="50"/>
    <n v="0"/>
    <x v="0"/>
    <x v="0"/>
    <x v="0"/>
    <n v="21"/>
    <s v="No"/>
    <n v="2025"/>
    <n v="2"/>
    <n v="5.6481286549707583"/>
    <n v="1"/>
    <x v="1"/>
  </r>
  <r>
    <s v="S00160"/>
    <s v="P5207"/>
    <s v="courtneycarr"/>
    <x v="4"/>
    <x v="1"/>
    <x v="2"/>
    <x v="102"/>
    <n v="57"/>
    <n v="0"/>
    <x v="0"/>
    <x v="0"/>
    <x v="0"/>
    <n v="13"/>
    <s v="No"/>
    <n v="2025"/>
    <n v="2"/>
    <n v="5.6646920821114355"/>
    <n v="1"/>
    <x v="1"/>
  </r>
  <r>
    <s v="S00161"/>
    <s v="P7830"/>
    <s v="thomasowens"/>
    <x v="1"/>
    <x v="0"/>
    <x v="5"/>
    <x v="104"/>
    <n v="116"/>
    <n v="17.05"/>
    <x v="2"/>
    <x v="2"/>
    <x v="1"/>
    <n v="17"/>
    <s v="No"/>
    <n v="2025"/>
    <n v="4"/>
    <n v="5.6813529411764687"/>
    <n v="0"/>
    <x v="1"/>
  </r>
  <r>
    <s v="S00162"/>
    <s v="P9575"/>
    <s v="robertsoncynthia"/>
    <x v="4"/>
    <x v="1"/>
    <x v="3"/>
    <x v="105"/>
    <n v="8"/>
    <n v="0"/>
    <x v="0"/>
    <x v="2"/>
    <x v="0"/>
    <n v="31"/>
    <s v="No"/>
    <n v="2025"/>
    <n v="2"/>
    <n v="5.6478171091445413"/>
    <n v="0"/>
    <x v="1"/>
  </r>
  <r>
    <s v="S00163"/>
    <s v="P8379"/>
    <s v="uhudson"/>
    <x v="3"/>
    <x v="0"/>
    <x v="3"/>
    <x v="41"/>
    <n v="38"/>
    <n v="0"/>
    <x v="0"/>
    <x v="0"/>
    <x v="0"/>
    <n v="21"/>
    <s v="No"/>
    <n v="2025"/>
    <n v="1"/>
    <n v="5.6645266272189332"/>
    <n v="1"/>
    <x v="1"/>
  </r>
  <r>
    <s v="S00164"/>
    <s v="P4355"/>
    <s v="victoriastone"/>
    <x v="0"/>
    <x v="2"/>
    <x v="3"/>
    <x v="57"/>
    <n v="94"/>
    <n v="0"/>
    <x v="0"/>
    <x v="2"/>
    <x v="0"/>
    <n v="23"/>
    <s v="No"/>
    <n v="2025"/>
    <n v="5"/>
    <n v="5.681335311572699"/>
    <n v="0"/>
    <x v="1"/>
  </r>
  <r>
    <s v="S00165"/>
    <s v="P6225"/>
    <s v="adam91"/>
    <x v="0"/>
    <x v="2"/>
    <x v="0"/>
    <x v="22"/>
    <n v="139"/>
    <n v="0"/>
    <x v="0"/>
    <x v="0"/>
    <x v="0"/>
    <n v="26"/>
    <s v="No"/>
    <n v="2025"/>
    <n v="3"/>
    <n v="5.6982440476190463"/>
    <n v="1"/>
    <x v="1"/>
  </r>
  <r>
    <s v="S00166"/>
    <s v="P9011"/>
    <s v="robertroberts"/>
    <x v="0"/>
    <x v="0"/>
    <x v="0"/>
    <x v="13"/>
    <n v="153"/>
    <n v="0"/>
    <x v="0"/>
    <x v="0"/>
    <x v="0"/>
    <n v="45"/>
    <s v="Yes"/>
    <n v="2025"/>
    <n v="5"/>
    <n v="5.7152537313432816"/>
    <n v="1"/>
    <x v="1"/>
  </r>
  <r>
    <s v="S00167"/>
    <s v="P4379"/>
    <s v="walkerdeborah"/>
    <x v="0"/>
    <x v="1"/>
    <x v="5"/>
    <x v="28"/>
    <n v="116"/>
    <n v="47.47"/>
    <x v="2"/>
    <x v="0"/>
    <x v="1"/>
    <n v="1"/>
    <s v="Yes"/>
    <n v="2025"/>
    <n v="4"/>
    <n v="5.7323652694610763"/>
    <n v="1"/>
    <x v="1"/>
  </r>
  <r>
    <s v="S00168"/>
    <s v="P6734"/>
    <s v="whitemary"/>
    <x v="2"/>
    <x v="2"/>
    <x v="3"/>
    <x v="106"/>
    <n v="82"/>
    <n v="0"/>
    <x v="0"/>
    <x v="2"/>
    <x v="0"/>
    <n v="17"/>
    <s v="No"/>
    <n v="2025"/>
    <n v="3"/>
    <n v="5.6070270270270264"/>
    <n v="0"/>
    <x v="1"/>
  </r>
  <r>
    <s v="S00169"/>
    <s v="P1828"/>
    <s v="fray"/>
    <x v="2"/>
    <x v="1"/>
    <x v="2"/>
    <x v="76"/>
    <n v="35"/>
    <n v="0"/>
    <x v="0"/>
    <x v="0"/>
    <x v="0"/>
    <n v="46"/>
    <s v="No"/>
    <n v="2025"/>
    <n v="4"/>
    <n v="5.6239156626506013"/>
    <n v="1"/>
    <x v="1"/>
  </r>
  <r>
    <s v="S00170"/>
    <s v="P1330"/>
    <s v="weaverdaniel"/>
    <x v="1"/>
    <x v="2"/>
    <x v="5"/>
    <x v="107"/>
    <n v="168"/>
    <n v="0"/>
    <x v="0"/>
    <x v="0"/>
    <x v="0"/>
    <n v="18"/>
    <s v="Yes"/>
    <n v="2025"/>
    <n v="6"/>
    <n v="5.6409063444108751"/>
    <n v="1"/>
    <x v="1"/>
  </r>
  <r>
    <s v="S00171"/>
    <s v="P4426"/>
    <s v="joe22"/>
    <x v="3"/>
    <x v="0"/>
    <x v="3"/>
    <x v="10"/>
    <n v="123"/>
    <n v="0"/>
    <x v="0"/>
    <x v="1"/>
    <x v="1"/>
    <n v="47"/>
    <s v="No"/>
    <n v="2025"/>
    <n v="4"/>
    <n v="5.6579999999999986"/>
    <n v="0"/>
    <x v="1"/>
  </r>
  <r>
    <s v="S00172"/>
    <s v="P7943"/>
    <s v="vaughnlori"/>
    <x v="3"/>
    <x v="1"/>
    <x v="5"/>
    <x v="21"/>
    <n v="41"/>
    <n v="33.29"/>
    <x v="1"/>
    <x v="0"/>
    <x v="1"/>
    <n v="29"/>
    <s v="No"/>
    <n v="2025"/>
    <n v="5"/>
    <n v="5.6751975683890565"/>
    <n v="1"/>
    <x v="1"/>
  </r>
  <r>
    <s v="S00173"/>
    <s v="P7565"/>
    <s v="ambersmith"/>
    <x v="1"/>
    <x v="0"/>
    <x v="1"/>
    <x v="79"/>
    <n v="156"/>
    <n v="0"/>
    <x v="0"/>
    <x v="0"/>
    <x v="0"/>
    <n v="34"/>
    <s v="Yes"/>
    <n v="2024"/>
    <n v="12"/>
    <n v="5.5910060975609754"/>
    <n v="1"/>
    <x v="1"/>
  </r>
  <r>
    <s v="S00174"/>
    <s v="P4796"/>
    <s v="okoch"/>
    <x v="3"/>
    <x v="2"/>
    <x v="5"/>
    <x v="108"/>
    <n v="84"/>
    <n v="0"/>
    <x v="0"/>
    <x v="0"/>
    <x v="0"/>
    <n v="15"/>
    <s v="No"/>
    <n v="2025"/>
    <n v="2"/>
    <n v="5.608103975535168"/>
    <n v="1"/>
    <x v="1"/>
  </r>
  <r>
    <s v="S00175"/>
    <s v="P6406"/>
    <s v="shannonevans"/>
    <x v="2"/>
    <x v="0"/>
    <x v="0"/>
    <x v="40"/>
    <n v="138"/>
    <n v="27.01"/>
    <x v="1"/>
    <x v="0"/>
    <x v="1"/>
    <n v="18"/>
    <s v="No"/>
    <n v="2025"/>
    <n v="2"/>
    <n v="5.6253067484662571"/>
    <n v="1"/>
    <x v="1"/>
  </r>
  <r>
    <s v="S00176"/>
    <s v="P3229"/>
    <s v="gina94"/>
    <x v="4"/>
    <x v="1"/>
    <x v="5"/>
    <x v="13"/>
    <n v="26"/>
    <n v="0"/>
    <x v="0"/>
    <x v="0"/>
    <x v="0"/>
    <n v="22"/>
    <s v="No"/>
    <n v="2025"/>
    <n v="5"/>
    <n v="5.559507692307692"/>
    <n v="1"/>
    <x v="1"/>
  </r>
  <r>
    <s v="S00177"/>
    <s v="P4485"/>
    <s v="iyoung"/>
    <x v="3"/>
    <x v="1"/>
    <x v="0"/>
    <x v="109"/>
    <n v="111"/>
    <n v="0"/>
    <x v="0"/>
    <x v="0"/>
    <x v="0"/>
    <n v="26"/>
    <s v="No"/>
    <n v="2025"/>
    <n v="5"/>
    <n v="5.5766666666666662"/>
    <n v="1"/>
    <x v="1"/>
  </r>
  <r>
    <s v="S00178"/>
    <s v="P4333"/>
    <s v="matthewcasey"/>
    <x v="4"/>
    <x v="1"/>
    <x v="2"/>
    <x v="52"/>
    <n v="100"/>
    <n v="0"/>
    <x v="0"/>
    <x v="0"/>
    <x v="0"/>
    <n v="7"/>
    <s v="No"/>
    <n v="2025"/>
    <n v="1"/>
    <n v="5.5939318885448914"/>
    <n v="1"/>
    <x v="1"/>
  </r>
  <r>
    <s v="S00179"/>
    <s v="P3013"/>
    <s v="smayo"/>
    <x v="4"/>
    <x v="1"/>
    <x v="5"/>
    <x v="110"/>
    <n v="84"/>
    <n v="0"/>
    <x v="0"/>
    <x v="0"/>
    <x v="0"/>
    <n v="36"/>
    <s v="No"/>
    <n v="2025"/>
    <n v="5"/>
    <n v="5.6113043478260867"/>
    <n v="1"/>
    <x v="1"/>
  </r>
  <r>
    <s v="S00180"/>
    <s v="P9205"/>
    <s v="douglas13"/>
    <x v="1"/>
    <x v="2"/>
    <x v="4"/>
    <x v="5"/>
    <n v="90"/>
    <n v="33.43"/>
    <x v="1"/>
    <x v="2"/>
    <x v="1"/>
    <n v="50"/>
    <s v="No"/>
    <n v="2025"/>
    <n v="3"/>
    <n v="5.6287850467289715"/>
    <n v="0"/>
    <x v="1"/>
  </r>
  <r>
    <s v="S00181"/>
    <s v="P2490"/>
    <s v="bakerjohn"/>
    <x v="4"/>
    <x v="2"/>
    <x v="2"/>
    <x v="75"/>
    <n v="61"/>
    <n v="23.71"/>
    <x v="3"/>
    <x v="0"/>
    <x v="1"/>
    <n v="37"/>
    <s v="No"/>
    <n v="2025"/>
    <n v="5"/>
    <n v="5.5419062499999994"/>
    <n v="1"/>
    <x v="1"/>
  </r>
  <r>
    <s v="S00182"/>
    <s v="P3609"/>
    <s v="brianlopez"/>
    <x v="1"/>
    <x v="0"/>
    <x v="2"/>
    <x v="91"/>
    <n v="88"/>
    <n v="0"/>
    <x v="0"/>
    <x v="0"/>
    <x v="0"/>
    <n v="39"/>
    <s v="No"/>
    <n v="2025"/>
    <n v="4"/>
    <n v="5.4849529780564259"/>
    <n v="1"/>
    <x v="1"/>
  </r>
  <r>
    <s v="S00183"/>
    <s v="P2506"/>
    <s v="troberts"/>
    <x v="0"/>
    <x v="0"/>
    <x v="1"/>
    <x v="55"/>
    <n v="56"/>
    <n v="0"/>
    <x v="0"/>
    <x v="0"/>
    <x v="0"/>
    <n v="1"/>
    <s v="No"/>
    <n v="2025"/>
    <n v="1"/>
    <n v="5.5022012578616346"/>
    <n v="1"/>
    <x v="1"/>
  </r>
  <r>
    <s v="S00184"/>
    <s v="P6474"/>
    <s v="robertmassey"/>
    <x v="4"/>
    <x v="0"/>
    <x v="1"/>
    <x v="97"/>
    <n v="54"/>
    <n v="0"/>
    <x v="0"/>
    <x v="0"/>
    <x v="0"/>
    <n v="49"/>
    <s v="No"/>
    <n v="2025"/>
    <n v="2"/>
    <n v="5.5195583596214508"/>
    <n v="1"/>
    <x v="1"/>
  </r>
  <r>
    <s v="S00185"/>
    <s v="P5211"/>
    <s v="ynovak"/>
    <x v="3"/>
    <x v="2"/>
    <x v="3"/>
    <x v="51"/>
    <n v="27"/>
    <n v="0"/>
    <x v="0"/>
    <x v="0"/>
    <x v="1"/>
    <n v="29"/>
    <s v="No"/>
    <n v="2025"/>
    <n v="2"/>
    <n v="5.5370253164556953"/>
    <n v="1"/>
    <x v="1"/>
  </r>
  <r>
    <s v="S00186"/>
    <s v="P7900"/>
    <s v="colinmartinez"/>
    <x v="2"/>
    <x v="2"/>
    <x v="5"/>
    <x v="81"/>
    <n v="30"/>
    <n v="27.43"/>
    <x v="2"/>
    <x v="0"/>
    <x v="1"/>
    <n v="1"/>
    <s v="No"/>
    <n v="2024"/>
    <n v="12"/>
    <n v="5.5546031746031739"/>
    <n v="1"/>
    <x v="1"/>
  </r>
  <r>
    <s v="S00187"/>
    <s v="P6989"/>
    <s v="schultzkatherine"/>
    <x v="0"/>
    <x v="2"/>
    <x v="5"/>
    <x v="111"/>
    <n v="128"/>
    <n v="0"/>
    <x v="0"/>
    <x v="1"/>
    <x v="0"/>
    <n v="36"/>
    <s v="No"/>
    <n v="2025"/>
    <n v="2"/>
    <n v="5.4849363057324831"/>
    <n v="0"/>
    <x v="1"/>
  </r>
  <r>
    <s v="S00188"/>
    <s v="P5714"/>
    <s v="romerostephanie"/>
    <x v="0"/>
    <x v="0"/>
    <x v="2"/>
    <x v="108"/>
    <n v="16"/>
    <n v="36"/>
    <x v="4"/>
    <x v="0"/>
    <x v="1"/>
    <n v="40"/>
    <s v="No"/>
    <n v="2025"/>
    <n v="2"/>
    <n v="5.5024600638977628"/>
    <n v="1"/>
    <x v="1"/>
  </r>
  <r>
    <s v="S00189"/>
    <s v="P4279"/>
    <s v="otaylor"/>
    <x v="3"/>
    <x v="0"/>
    <x v="1"/>
    <x v="112"/>
    <n v="57"/>
    <n v="0"/>
    <x v="0"/>
    <x v="0"/>
    <x v="0"/>
    <n v="18"/>
    <s v="No"/>
    <n v="2025"/>
    <n v="5"/>
    <n v="5.4047115384615374"/>
    <n v="1"/>
    <x v="1"/>
  </r>
  <r>
    <s v="S00190"/>
    <s v="P5227"/>
    <s v="snguyen"/>
    <x v="0"/>
    <x v="0"/>
    <x v="5"/>
    <x v="32"/>
    <n v="153"/>
    <n v="0"/>
    <x v="0"/>
    <x v="0"/>
    <x v="0"/>
    <n v="1"/>
    <s v="Yes"/>
    <n v="2025"/>
    <n v="5"/>
    <n v="5.4220900321543404"/>
    <n v="1"/>
    <x v="1"/>
  </r>
  <r>
    <s v="S00191"/>
    <s v="P6734"/>
    <s v="christine87"/>
    <x v="0"/>
    <x v="1"/>
    <x v="5"/>
    <x v="55"/>
    <n v="130"/>
    <n v="0"/>
    <x v="0"/>
    <x v="0"/>
    <x v="1"/>
    <n v="8"/>
    <s v="No"/>
    <n v="2025"/>
    <n v="1"/>
    <n v="5.4395806451612891"/>
    <n v="1"/>
    <x v="1"/>
  </r>
  <r>
    <s v="S00192"/>
    <s v="P2833"/>
    <s v="kerry23"/>
    <x v="4"/>
    <x v="2"/>
    <x v="0"/>
    <x v="95"/>
    <n v="47"/>
    <n v="12.41"/>
    <x v="2"/>
    <x v="0"/>
    <x v="1"/>
    <n v="36"/>
    <s v="No"/>
    <n v="2024"/>
    <n v="12"/>
    <n v="5.4571844660194166"/>
    <n v="1"/>
    <x v="1"/>
  </r>
  <r>
    <s v="S00193"/>
    <s v="P3866"/>
    <s v="natashamartin"/>
    <x v="3"/>
    <x v="2"/>
    <x v="3"/>
    <x v="39"/>
    <n v="53"/>
    <n v="0"/>
    <x v="0"/>
    <x v="3"/>
    <x v="0"/>
    <n v="28"/>
    <s v="No"/>
    <n v="2025"/>
    <n v="3"/>
    <n v="5.4346103896103894"/>
    <n v="0"/>
    <x v="1"/>
  </r>
  <r>
    <s v="S00194"/>
    <s v="P9566"/>
    <s v="rileyjason"/>
    <x v="0"/>
    <x v="2"/>
    <x v="4"/>
    <x v="113"/>
    <n v="19"/>
    <n v="0"/>
    <x v="0"/>
    <x v="0"/>
    <x v="0"/>
    <n v="27"/>
    <s v="No"/>
    <n v="2025"/>
    <n v="3"/>
    <n v="5.4523127035830612"/>
    <n v="1"/>
    <x v="1"/>
  </r>
  <r>
    <s v="S00195"/>
    <s v="P1819"/>
    <s v="garciadanielle"/>
    <x v="1"/>
    <x v="1"/>
    <x v="0"/>
    <x v="114"/>
    <n v="117"/>
    <n v="0"/>
    <x v="0"/>
    <x v="0"/>
    <x v="0"/>
    <n v="17"/>
    <s v="No"/>
    <n v="2024"/>
    <n v="12"/>
    <n v="5.4701307189542483"/>
    <n v="1"/>
    <x v="1"/>
  </r>
  <r>
    <s v="S00196"/>
    <s v="P5750"/>
    <s v="walterkayla"/>
    <x v="0"/>
    <x v="0"/>
    <x v="1"/>
    <x v="56"/>
    <n v="35"/>
    <n v="18.72"/>
    <x v="4"/>
    <x v="0"/>
    <x v="1"/>
    <n v="20"/>
    <s v="No"/>
    <n v="2025"/>
    <n v="1"/>
    <n v="5.4880655737704913"/>
    <n v="1"/>
    <x v="1"/>
  </r>
  <r>
    <s v="S00197"/>
    <s v="P8044"/>
    <s v="henryrosales"/>
    <x v="1"/>
    <x v="1"/>
    <x v="2"/>
    <x v="46"/>
    <n v="138"/>
    <n v="0"/>
    <x v="0"/>
    <x v="0"/>
    <x v="0"/>
    <n v="47"/>
    <s v="No"/>
    <n v="2025"/>
    <n v="5"/>
    <n v="5.4445394736842099"/>
    <n v="1"/>
    <x v="1"/>
  </r>
  <r>
    <s v="S00198"/>
    <s v="P7656"/>
    <s v="nrichmond"/>
    <x v="4"/>
    <x v="0"/>
    <x v="4"/>
    <x v="115"/>
    <n v="45"/>
    <n v="0"/>
    <x v="0"/>
    <x v="0"/>
    <x v="0"/>
    <n v="24"/>
    <s v="No"/>
    <n v="2025"/>
    <n v="1"/>
    <n v="5.4625082508250822"/>
    <n v="1"/>
    <x v="1"/>
  </r>
  <r>
    <s v="S00199"/>
    <s v="P9860"/>
    <s v="andrewbrown"/>
    <x v="2"/>
    <x v="0"/>
    <x v="5"/>
    <x v="20"/>
    <n v="97"/>
    <n v="0"/>
    <x v="0"/>
    <x v="0"/>
    <x v="0"/>
    <n v="5"/>
    <s v="No"/>
    <n v="2025"/>
    <n v="5"/>
    <n v="5.4805960264900655"/>
    <n v="1"/>
    <x v="1"/>
  </r>
  <r>
    <s v="S00200"/>
    <s v="P7486"/>
    <s v="qmills"/>
    <x v="2"/>
    <x v="1"/>
    <x v="1"/>
    <x v="27"/>
    <n v="18"/>
    <n v="0"/>
    <x v="0"/>
    <x v="0"/>
    <x v="0"/>
    <n v="14"/>
    <s v="No"/>
    <n v="2025"/>
    <n v="2"/>
    <n v="5.4988039867109633"/>
    <n v="1"/>
    <x v="1"/>
  </r>
  <r>
    <s v="S00201"/>
    <s v="P5966"/>
    <s v="qcarrillo"/>
    <x v="2"/>
    <x v="1"/>
    <x v="5"/>
    <x v="116"/>
    <n v="7"/>
    <n v="0"/>
    <x v="0"/>
    <x v="3"/>
    <x v="0"/>
    <n v="22"/>
    <s v="No"/>
    <n v="2025"/>
    <n v="4"/>
    <n v="5.5171333333333328"/>
    <n v="0"/>
    <x v="1"/>
  </r>
  <r>
    <s v="S00202"/>
    <s v="P8953"/>
    <s v="mcdanielautumn"/>
    <x v="4"/>
    <x v="2"/>
    <x v="3"/>
    <x v="117"/>
    <n v="42"/>
    <n v="32.85"/>
    <x v="2"/>
    <x v="3"/>
    <x v="1"/>
    <n v="38"/>
    <s v="No"/>
    <n v="2025"/>
    <n v="3"/>
    <n v="5.5355852842809359"/>
    <n v="0"/>
    <x v="1"/>
  </r>
  <r>
    <s v="S00203"/>
    <s v="P5877"/>
    <s v="jperkins"/>
    <x v="1"/>
    <x v="2"/>
    <x v="2"/>
    <x v="43"/>
    <n v="111"/>
    <n v="0"/>
    <x v="0"/>
    <x v="0"/>
    <x v="0"/>
    <n v="39"/>
    <s v="No"/>
    <n v="2025"/>
    <n v="4"/>
    <n v="5.4439261744966441"/>
    <n v="1"/>
    <x v="1"/>
  </r>
  <r>
    <s v="S00204"/>
    <s v="P7851"/>
    <s v="hernandezmichael"/>
    <x v="1"/>
    <x v="2"/>
    <x v="0"/>
    <x v="57"/>
    <n v="32"/>
    <n v="0"/>
    <x v="0"/>
    <x v="3"/>
    <x v="0"/>
    <n v="22"/>
    <s v="No"/>
    <n v="2025"/>
    <n v="5"/>
    <n v="5.4622558922558921"/>
    <n v="0"/>
    <x v="1"/>
  </r>
  <r>
    <s v="S00205"/>
    <s v="P8927"/>
    <s v="xpadilla"/>
    <x v="0"/>
    <x v="1"/>
    <x v="2"/>
    <x v="118"/>
    <n v="46"/>
    <n v="0"/>
    <x v="0"/>
    <x v="0"/>
    <x v="1"/>
    <n v="42"/>
    <s v="No"/>
    <n v="2025"/>
    <n v="5"/>
    <n v="5.480709459459459"/>
    <n v="1"/>
    <x v="1"/>
  </r>
  <r>
    <s v="S00206"/>
    <s v="P3345"/>
    <s v="wjohnson"/>
    <x v="4"/>
    <x v="0"/>
    <x v="1"/>
    <x v="80"/>
    <n v="98"/>
    <n v="0"/>
    <x v="0"/>
    <x v="0"/>
    <x v="1"/>
    <n v="30"/>
    <s v="No"/>
    <n v="2025"/>
    <n v="5"/>
    <n v="5.4992881355932202"/>
    <n v="1"/>
    <x v="1"/>
  </r>
  <r>
    <s v="S00207"/>
    <s v="P1709"/>
    <s v="darren53"/>
    <x v="4"/>
    <x v="0"/>
    <x v="5"/>
    <x v="9"/>
    <n v="85"/>
    <n v="0"/>
    <x v="0"/>
    <x v="0"/>
    <x v="0"/>
    <n v="4"/>
    <s v="No"/>
    <n v="2025"/>
    <n v="5"/>
    <n v="5.5179931972789111"/>
    <n v="1"/>
    <x v="1"/>
  </r>
  <r>
    <s v="S00208"/>
    <s v="P3727"/>
    <s v="nathanielchavez"/>
    <x v="4"/>
    <x v="0"/>
    <x v="2"/>
    <x v="21"/>
    <n v="135"/>
    <n v="0"/>
    <x v="0"/>
    <x v="0"/>
    <x v="1"/>
    <n v="42"/>
    <s v="No"/>
    <n v="2025"/>
    <n v="5"/>
    <n v="5.5368259385665528"/>
    <n v="1"/>
    <x v="1"/>
  </r>
  <r>
    <s v="S00209"/>
    <s v="P6903"/>
    <s v="selliott"/>
    <x v="4"/>
    <x v="1"/>
    <x v="3"/>
    <x v="119"/>
    <n v="109"/>
    <n v="0"/>
    <x v="0"/>
    <x v="0"/>
    <x v="0"/>
    <n v="15"/>
    <s v="No"/>
    <n v="2024"/>
    <n v="12"/>
    <n v="5.5557876712328769"/>
    <n v="1"/>
    <x v="1"/>
  </r>
  <r>
    <s v="S00210"/>
    <s v="P9657"/>
    <s v="elowe"/>
    <x v="3"/>
    <x v="2"/>
    <x v="3"/>
    <x v="21"/>
    <n v="41"/>
    <n v="0"/>
    <x v="0"/>
    <x v="0"/>
    <x v="0"/>
    <n v="14"/>
    <s v="No"/>
    <n v="2025"/>
    <n v="5"/>
    <n v="5.5748797250859106"/>
    <n v="1"/>
    <x v="1"/>
  </r>
  <r>
    <s v="S00211"/>
    <s v="P6523"/>
    <s v="edwardsjohn"/>
    <x v="1"/>
    <x v="0"/>
    <x v="5"/>
    <x v="89"/>
    <n v="47"/>
    <n v="8.61"/>
    <x v="2"/>
    <x v="0"/>
    <x v="1"/>
    <n v="1"/>
    <s v="No"/>
    <n v="2025"/>
    <n v="1"/>
    <n v="5.5941034482758623"/>
    <n v="1"/>
    <x v="1"/>
  </r>
  <r>
    <s v="S00212"/>
    <s v="P4216"/>
    <s v="sheilawatkins"/>
    <x v="0"/>
    <x v="0"/>
    <x v="1"/>
    <x v="22"/>
    <n v="141"/>
    <n v="0"/>
    <x v="0"/>
    <x v="0"/>
    <x v="0"/>
    <n v="17"/>
    <s v="No"/>
    <n v="2025"/>
    <n v="3"/>
    <n v="5.5836678200692038"/>
    <n v="1"/>
    <x v="1"/>
  </r>
  <r>
    <s v="S00213"/>
    <s v="P5442"/>
    <s v="nicholas77"/>
    <x v="2"/>
    <x v="1"/>
    <x v="0"/>
    <x v="120"/>
    <n v="56"/>
    <n v="15.9"/>
    <x v="1"/>
    <x v="2"/>
    <x v="1"/>
    <n v="28"/>
    <s v="No"/>
    <n v="2025"/>
    <n v="3"/>
    <n v="5.6030555555555548"/>
    <n v="0"/>
    <x v="1"/>
  </r>
  <r>
    <s v="S00214"/>
    <s v="P5369"/>
    <s v="alexandermoore"/>
    <x v="2"/>
    <x v="1"/>
    <x v="5"/>
    <x v="59"/>
    <n v="93"/>
    <n v="0"/>
    <x v="0"/>
    <x v="0"/>
    <x v="0"/>
    <n v="21"/>
    <s v="No"/>
    <n v="2025"/>
    <n v="6"/>
    <n v="5.5671777003484308"/>
    <n v="1"/>
    <x v="1"/>
  </r>
  <r>
    <s v="S00215"/>
    <s v="P2904"/>
    <s v="william77"/>
    <x v="3"/>
    <x v="2"/>
    <x v="1"/>
    <x v="86"/>
    <n v="147"/>
    <n v="0"/>
    <x v="0"/>
    <x v="0"/>
    <x v="0"/>
    <n v="48"/>
    <s v="No"/>
    <n v="2025"/>
    <n v="1"/>
    <n v="5.5866433566433553"/>
    <n v="1"/>
    <x v="1"/>
  </r>
  <r>
    <s v="S00216"/>
    <s v="P2461"/>
    <s v="michelle54"/>
    <x v="1"/>
    <x v="0"/>
    <x v="5"/>
    <x v="86"/>
    <n v="34"/>
    <n v="0"/>
    <x v="0"/>
    <x v="0"/>
    <x v="0"/>
    <n v="50"/>
    <s v="No"/>
    <n v="2025"/>
    <n v="1"/>
    <n v="5.6062456140350871"/>
    <n v="1"/>
    <x v="1"/>
  </r>
  <r>
    <s v="S00217"/>
    <s v="P3087"/>
    <s v="quinncaroline"/>
    <x v="2"/>
    <x v="0"/>
    <x v="3"/>
    <x v="121"/>
    <n v="51"/>
    <n v="0"/>
    <x v="0"/>
    <x v="1"/>
    <x v="0"/>
    <n v="2"/>
    <s v="No"/>
    <n v="2025"/>
    <n v="4"/>
    <n v="5.625985915492957"/>
    <n v="0"/>
    <x v="1"/>
  </r>
  <r>
    <s v="S00218"/>
    <s v="P1617"/>
    <s v="hlucas"/>
    <x v="3"/>
    <x v="0"/>
    <x v="2"/>
    <x v="53"/>
    <n v="44"/>
    <n v="0"/>
    <x v="0"/>
    <x v="3"/>
    <x v="0"/>
    <n v="27"/>
    <s v="No"/>
    <n v="2025"/>
    <n v="6"/>
    <n v="5.6458657243816246"/>
    <n v="0"/>
    <x v="1"/>
  </r>
  <r>
    <s v="S00219"/>
    <s v="P3673"/>
    <s v="davisdevin"/>
    <x v="0"/>
    <x v="1"/>
    <x v="5"/>
    <x v="1"/>
    <n v="114"/>
    <n v="5.31"/>
    <x v="1"/>
    <x v="0"/>
    <x v="1"/>
    <n v="9"/>
    <s v="No"/>
    <n v="2024"/>
    <n v="12"/>
    <n v="5.6658865248226942"/>
    <n v="1"/>
    <x v="1"/>
  </r>
  <r>
    <s v="S00220"/>
    <s v="P7757"/>
    <s v="tonyachristensen"/>
    <x v="4"/>
    <x v="0"/>
    <x v="1"/>
    <x v="122"/>
    <n v="154"/>
    <n v="0"/>
    <x v="0"/>
    <x v="0"/>
    <x v="0"/>
    <n v="26"/>
    <s v="Yes"/>
    <n v="2025"/>
    <n v="3"/>
    <n v="5.6671530249110305"/>
    <n v="1"/>
    <x v="1"/>
  </r>
  <r>
    <s v="S00221"/>
    <s v="P1073"/>
    <s v="shawna86"/>
    <x v="3"/>
    <x v="2"/>
    <x v="1"/>
    <x v="123"/>
    <n v="105"/>
    <n v="0"/>
    <x v="0"/>
    <x v="0"/>
    <x v="0"/>
    <n v="38"/>
    <s v="No"/>
    <n v="2025"/>
    <n v="4"/>
    <n v="5.6873928571428554"/>
    <n v="1"/>
    <x v="1"/>
  </r>
  <r>
    <s v="S00222"/>
    <s v="P9392"/>
    <s v="scott81"/>
    <x v="2"/>
    <x v="2"/>
    <x v="0"/>
    <x v="96"/>
    <n v="80"/>
    <n v="0"/>
    <x v="0"/>
    <x v="2"/>
    <x v="0"/>
    <n v="39"/>
    <s v="No"/>
    <n v="2025"/>
    <n v="1"/>
    <n v="5.7077777777777765"/>
    <n v="0"/>
    <x v="1"/>
  </r>
  <r>
    <s v="S00223"/>
    <s v="P8292"/>
    <s v="kellyrichardson"/>
    <x v="2"/>
    <x v="2"/>
    <x v="0"/>
    <x v="10"/>
    <n v="92"/>
    <n v="0"/>
    <x v="0"/>
    <x v="0"/>
    <x v="0"/>
    <n v="11"/>
    <s v="No"/>
    <n v="2025"/>
    <n v="4"/>
    <n v="5.728309352517984"/>
    <n v="1"/>
    <x v="1"/>
  </r>
  <r>
    <s v="S00224"/>
    <s v="P4744"/>
    <s v="jeansmall"/>
    <x v="3"/>
    <x v="1"/>
    <x v="1"/>
    <x v="96"/>
    <n v="113"/>
    <n v="0"/>
    <x v="0"/>
    <x v="0"/>
    <x v="0"/>
    <n v="46"/>
    <s v="No"/>
    <n v="2025"/>
    <n v="1"/>
    <n v="5.748989169675089"/>
    <n v="1"/>
    <x v="1"/>
  </r>
  <r>
    <s v="S00225"/>
    <s v="P1940"/>
    <s v="richard18"/>
    <x v="2"/>
    <x v="1"/>
    <x v="0"/>
    <x v="124"/>
    <n v="117"/>
    <n v="23.32"/>
    <x v="1"/>
    <x v="0"/>
    <x v="1"/>
    <n v="11"/>
    <s v="No"/>
    <n v="2025"/>
    <n v="1"/>
    <n v="5.7698188405797088"/>
    <n v="1"/>
    <x v="1"/>
  </r>
  <r>
    <s v="S00226"/>
    <s v="P7147"/>
    <s v="jayroberts"/>
    <x v="0"/>
    <x v="0"/>
    <x v="5"/>
    <x v="86"/>
    <n v="71"/>
    <n v="0"/>
    <x v="0"/>
    <x v="0"/>
    <x v="0"/>
    <n v="37"/>
    <s v="No"/>
    <n v="2025"/>
    <n v="1"/>
    <n v="5.7059999999999986"/>
    <n v="1"/>
    <x v="1"/>
  </r>
  <r>
    <s v="S00227"/>
    <s v="P9650"/>
    <s v="lpowers"/>
    <x v="4"/>
    <x v="1"/>
    <x v="4"/>
    <x v="125"/>
    <n v="132"/>
    <n v="0"/>
    <x v="0"/>
    <x v="0"/>
    <x v="1"/>
    <n v="50"/>
    <s v="No"/>
    <n v="2025"/>
    <n v="1"/>
    <n v="5.7268248175182466"/>
    <n v="1"/>
    <x v="1"/>
  </r>
  <r>
    <s v="S00228"/>
    <s v="P4765"/>
    <s v="thomas60"/>
    <x v="0"/>
    <x v="1"/>
    <x v="4"/>
    <x v="26"/>
    <n v="30"/>
    <n v="0"/>
    <x v="0"/>
    <x v="0"/>
    <x v="0"/>
    <n v="20"/>
    <s v="No"/>
    <n v="2025"/>
    <n v="5"/>
    <n v="5.747802197802196"/>
    <n v="1"/>
    <x v="1"/>
  </r>
  <r>
    <s v="S00229"/>
    <s v="P1732"/>
    <s v="zjames"/>
    <x v="4"/>
    <x v="0"/>
    <x v="1"/>
    <x v="49"/>
    <n v="48"/>
    <n v="0"/>
    <x v="0"/>
    <x v="2"/>
    <x v="0"/>
    <n v="36"/>
    <s v="No"/>
    <n v="2025"/>
    <n v="5"/>
    <n v="5.7689338235294105"/>
    <n v="0"/>
    <x v="1"/>
  </r>
  <r>
    <s v="S00230"/>
    <s v="P7236"/>
    <s v="zhopkins"/>
    <x v="2"/>
    <x v="2"/>
    <x v="1"/>
    <x v="74"/>
    <n v="98"/>
    <n v="27.66"/>
    <x v="1"/>
    <x v="0"/>
    <x v="1"/>
    <n v="27"/>
    <s v="No"/>
    <n v="2025"/>
    <n v="5"/>
    <n v="5.790221402214021"/>
    <n v="1"/>
    <x v="1"/>
  </r>
  <r>
    <s v="S00231"/>
    <s v="P9363"/>
    <s v="melissa94"/>
    <x v="1"/>
    <x v="1"/>
    <x v="2"/>
    <x v="97"/>
    <n v="23"/>
    <n v="24.09"/>
    <x v="4"/>
    <x v="3"/>
    <x v="1"/>
    <n v="23"/>
    <s v="No"/>
    <n v="2025"/>
    <n v="2"/>
    <n v="5.7092222222222206"/>
    <n v="0"/>
    <x v="1"/>
  </r>
  <r>
    <s v="S00232"/>
    <s v="P8348"/>
    <s v="pottsdavid"/>
    <x v="1"/>
    <x v="0"/>
    <x v="5"/>
    <x v="126"/>
    <n v="146"/>
    <n v="43.02"/>
    <x v="4"/>
    <x v="0"/>
    <x v="1"/>
    <n v="24"/>
    <s v="Yes"/>
    <n v="2025"/>
    <n v="5"/>
    <n v="5.6408921933085487"/>
    <n v="1"/>
    <x v="1"/>
  </r>
  <r>
    <s v="S00233"/>
    <s v="P8315"/>
    <s v="zmartin"/>
    <x v="2"/>
    <x v="2"/>
    <x v="3"/>
    <x v="127"/>
    <n v="55"/>
    <n v="0"/>
    <x v="0"/>
    <x v="0"/>
    <x v="0"/>
    <n v="20"/>
    <s v="No"/>
    <n v="2025"/>
    <n v="4"/>
    <n v="5.5014179104477607"/>
    <n v="1"/>
    <x v="1"/>
  </r>
  <r>
    <s v="S00234"/>
    <s v="P4086"/>
    <s v="joseph76"/>
    <x v="1"/>
    <x v="1"/>
    <x v="2"/>
    <x v="128"/>
    <n v="154"/>
    <n v="0"/>
    <x v="0"/>
    <x v="0"/>
    <x v="0"/>
    <n v="22"/>
    <s v="Yes"/>
    <n v="2024"/>
    <n v="12"/>
    <n v="5.5220224719101116"/>
    <n v="1"/>
    <x v="1"/>
  </r>
  <r>
    <s v="S00235"/>
    <s v="P5994"/>
    <s v="deannanewman"/>
    <x v="0"/>
    <x v="2"/>
    <x v="5"/>
    <x v="121"/>
    <n v="163"/>
    <n v="0"/>
    <x v="0"/>
    <x v="0"/>
    <x v="0"/>
    <n v="46"/>
    <s v="Yes"/>
    <n v="2025"/>
    <n v="4"/>
    <n v="5.5427819548872179"/>
    <n v="1"/>
    <x v="1"/>
  </r>
  <r>
    <s v="S00236"/>
    <s v="P5794"/>
    <s v="rodriguezkathleen"/>
    <x v="2"/>
    <x v="2"/>
    <x v="3"/>
    <x v="6"/>
    <n v="59"/>
    <n v="0"/>
    <x v="0"/>
    <x v="1"/>
    <x v="0"/>
    <n v="5"/>
    <s v="No"/>
    <n v="2025"/>
    <n v="4"/>
    <n v="5.5636981132075469"/>
    <n v="0"/>
    <x v="1"/>
  </r>
  <r>
    <s v="S00237"/>
    <s v="P4427"/>
    <s v="nelsonbrandon"/>
    <x v="2"/>
    <x v="2"/>
    <x v="3"/>
    <x v="82"/>
    <n v="26"/>
    <n v="11.67"/>
    <x v="1"/>
    <x v="0"/>
    <x v="1"/>
    <n v="49"/>
    <s v="No"/>
    <n v="2025"/>
    <n v="2"/>
    <n v="5.5847727272727266"/>
    <n v="1"/>
    <x v="1"/>
  </r>
  <r>
    <s v="S00238"/>
    <s v="P4599"/>
    <s v="wrightjulia"/>
    <x v="3"/>
    <x v="1"/>
    <x v="2"/>
    <x v="40"/>
    <n v="117"/>
    <n v="0"/>
    <x v="0"/>
    <x v="2"/>
    <x v="0"/>
    <n v="21"/>
    <s v="No"/>
    <n v="2025"/>
    <n v="2"/>
    <n v="5.5616349809885923"/>
    <n v="0"/>
    <x v="1"/>
  </r>
  <r>
    <s v="S00239"/>
    <s v="P3944"/>
    <s v="zthomas"/>
    <x v="2"/>
    <x v="1"/>
    <x v="4"/>
    <x v="129"/>
    <n v="112"/>
    <n v="2.2599999999999998"/>
    <x v="2"/>
    <x v="0"/>
    <x v="1"/>
    <n v="22"/>
    <s v="No"/>
    <n v="2025"/>
    <n v="1"/>
    <n v="5.5828625954198463"/>
    <n v="1"/>
    <x v="1"/>
  </r>
  <r>
    <s v="S00240"/>
    <s v="P9467"/>
    <s v="fmay"/>
    <x v="2"/>
    <x v="0"/>
    <x v="0"/>
    <x v="83"/>
    <n v="116"/>
    <n v="0"/>
    <x v="0"/>
    <x v="3"/>
    <x v="1"/>
    <n v="11"/>
    <s v="No"/>
    <n v="2025"/>
    <n v="4"/>
    <n v="5.5955938697318004"/>
    <n v="0"/>
    <x v="1"/>
  </r>
  <r>
    <s v="S00241"/>
    <s v="P9330"/>
    <s v="susan69"/>
    <x v="3"/>
    <x v="0"/>
    <x v="4"/>
    <x v="121"/>
    <n v="8"/>
    <n v="36.39"/>
    <x v="1"/>
    <x v="0"/>
    <x v="1"/>
    <n v="22"/>
    <s v="No"/>
    <n v="2025"/>
    <n v="4"/>
    <n v="5.6171153846153841"/>
    <n v="1"/>
    <x v="1"/>
  </r>
  <r>
    <s v="S00242"/>
    <s v="P7057"/>
    <s v="anthony60"/>
    <x v="1"/>
    <x v="0"/>
    <x v="3"/>
    <x v="130"/>
    <n v="115"/>
    <n v="0"/>
    <x v="0"/>
    <x v="0"/>
    <x v="0"/>
    <n v="18"/>
    <s v="No"/>
    <n v="2025"/>
    <n v="1"/>
    <n v="5.4983011583011576"/>
    <n v="1"/>
    <x v="1"/>
  </r>
  <r>
    <s v="S00243"/>
    <s v="P5909"/>
    <s v="mercedesyoung"/>
    <x v="0"/>
    <x v="1"/>
    <x v="2"/>
    <x v="131"/>
    <n v="144"/>
    <n v="0"/>
    <x v="0"/>
    <x v="2"/>
    <x v="0"/>
    <n v="18"/>
    <s v="No"/>
    <n v="2025"/>
    <n v="5"/>
    <n v="5.5196124031007745"/>
    <n v="0"/>
    <x v="1"/>
  </r>
  <r>
    <s v="S00244"/>
    <s v="P8810"/>
    <s v="tracy64"/>
    <x v="4"/>
    <x v="0"/>
    <x v="3"/>
    <x v="83"/>
    <n v="175"/>
    <n v="7.47"/>
    <x v="4"/>
    <x v="0"/>
    <x v="1"/>
    <n v="17"/>
    <s v="Yes"/>
    <n v="2025"/>
    <n v="4"/>
    <n v="5.5410894941634234"/>
    <n v="1"/>
    <x v="0"/>
  </r>
  <r>
    <s v="S00245"/>
    <s v="P8881"/>
    <s v="carpenterjohn"/>
    <x v="2"/>
    <x v="1"/>
    <x v="1"/>
    <x v="132"/>
    <n v="142"/>
    <n v="0"/>
    <x v="0"/>
    <x v="0"/>
    <x v="0"/>
    <n v="11"/>
    <s v="No"/>
    <n v="2025"/>
    <n v="1"/>
    <n v="5.5335546874999997"/>
    <n v="1"/>
    <x v="1"/>
  </r>
  <r>
    <s v="S00246"/>
    <s v="P4807"/>
    <s v="alexwilson"/>
    <x v="0"/>
    <x v="0"/>
    <x v="1"/>
    <x v="132"/>
    <n v="154"/>
    <n v="0"/>
    <x v="0"/>
    <x v="0"/>
    <x v="0"/>
    <n v="8"/>
    <s v="Yes"/>
    <n v="2025"/>
    <n v="1"/>
    <n v="5.555254901960784"/>
    <n v="1"/>
    <x v="1"/>
  </r>
  <r>
    <s v="S00247"/>
    <s v="P3394"/>
    <s v="moyerdanny"/>
    <x v="2"/>
    <x v="1"/>
    <x v="5"/>
    <x v="125"/>
    <n v="33"/>
    <n v="0"/>
    <x v="0"/>
    <x v="0"/>
    <x v="0"/>
    <n v="9"/>
    <s v="No"/>
    <n v="2025"/>
    <n v="1"/>
    <n v="5.5771259842519685"/>
    <n v="1"/>
    <x v="1"/>
  </r>
  <r>
    <s v="S00248"/>
    <s v="P2659"/>
    <s v="joshuasmith"/>
    <x v="2"/>
    <x v="1"/>
    <x v="5"/>
    <x v="133"/>
    <n v="91"/>
    <n v="0"/>
    <x v="0"/>
    <x v="2"/>
    <x v="0"/>
    <n v="44"/>
    <s v="No"/>
    <n v="2025"/>
    <n v="4"/>
    <n v="5.5991699604743079"/>
    <n v="0"/>
    <x v="1"/>
  </r>
  <r>
    <s v="S00249"/>
    <s v="P3780"/>
    <s v="zacharygonzales"/>
    <x v="3"/>
    <x v="2"/>
    <x v="5"/>
    <x v="129"/>
    <n v="36"/>
    <n v="0"/>
    <x v="0"/>
    <x v="0"/>
    <x v="0"/>
    <n v="36"/>
    <s v="No"/>
    <n v="2025"/>
    <n v="1"/>
    <n v="5.6213888888888883"/>
    <n v="1"/>
    <x v="1"/>
  </r>
  <r>
    <s v="S00250"/>
    <s v="P2357"/>
    <s v="coxlauren"/>
    <x v="0"/>
    <x v="1"/>
    <x v="3"/>
    <x v="82"/>
    <n v="66"/>
    <n v="0"/>
    <x v="0"/>
    <x v="3"/>
    <x v="1"/>
    <n v="38"/>
    <s v="No"/>
    <n v="2025"/>
    <n v="2"/>
    <n v="5.6437848605577683"/>
    <n v="0"/>
    <x v="1"/>
  </r>
  <r>
    <s v="S00251"/>
    <s v="P6820"/>
    <s v="espinozajennifer"/>
    <x v="0"/>
    <x v="0"/>
    <x v="3"/>
    <x v="134"/>
    <n v="38"/>
    <n v="30.6"/>
    <x v="2"/>
    <x v="0"/>
    <x v="1"/>
    <n v="27"/>
    <s v="No"/>
    <n v="2025"/>
    <n v="2"/>
    <n v="5.6663600000000001"/>
    <n v="1"/>
    <x v="1"/>
  </r>
  <r>
    <s v="S00252"/>
    <s v="P7067"/>
    <s v="jackbarnes"/>
    <x v="4"/>
    <x v="0"/>
    <x v="2"/>
    <x v="135"/>
    <n v="177"/>
    <n v="0"/>
    <x v="0"/>
    <x v="0"/>
    <x v="0"/>
    <n v="25"/>
    <s v="Yes"/>
    <n v="2024"/>
    <n v="12"/>
    <n v="5.5662248995983932"/>
    <n v="1"/>
    <x v="0"/>
  </r>
  <r>
    <s v="S00253"/>
    <s v="P6499"/>
    <s v="juanjones"/>
    <x v="4"/>
    <x v="1"/>
    <x v="5"/>
    <x v="135"/>
    <n v="133"/>
    <n v="8.0500000000000007"/>
    <x v="4"/>
    <x v="0"/>
    <x v="1"/>
    <n v="35"/>
    <s v="No"/>
    <n v="2024"/>
    <n v="12"/>
    <n v="5.5886693548387099"/>
    <n v="1"/>
    <x v="1"/>
  </r>
  <r>
    <s v="S00254"/>
    <s v="P5142"/>
    <s v="georgewarren"/>
    <x v="3"/>
    <x v="2"/>
    <x v="4"/>
    <x v="121"/>
    <n v="116"/>
    <n v="0"/>
    <x v="0"/>
    <x v="0"/>
    <x v="0"/>
    <n v="40"/>
    <s v="No"/>
    <n v="2025"/>
    <n v="4"/>
    <n v="5.5787044534412962"/>
    <n v="1"/>
    <x v="1"/>
  </r>
  <r>
    <s v="S00255"/>
    <s v="P4616"/>
    <s v="danieldonaldson"/>
    <x v="4"/>
    <x v="2"/>
    <x v="5"/>
    <x v="68"/>
    <n v="72"/>
    <n v="0"/>
    <x v="0"/>
    <x v="0"/>
    <x v="0"/>
    <n v="34"/>
    <s v="No"/>
    <n v="2024"/>
    <n v="12"/>
    <n v="5.6013821138211384"/>
    <n v="1"/>
    <x v="1"/>
  </r>
  <r>
    <s v="S00256"/>
    <s v="P7433"/>
    <s v="wsanders"/>
    <x v="4"/>
    <x v="0"/>
    <x v="5"/>
    <x v="43"/>
    <n v="51"/>
    <n v="0"/>
    <x v="0"/>
    <x v="0"/>
    <x v="0"/>
    <n v="30"/>
    <s v="No"/>
    <n v="2025"/>
    <n v="4"/>
    <n v="5.6242448979591835"/>
    <n v="1"/>
    <x v="1"/>
  </r>
  <r>
    <s v="S00257"/>
    <s v="P8958"/>
    <s v="dunnmelissa"/>
    <x v="3"/>
    <x v="1"/>
    <x v="2"/>
    <x v="16"/>
    <n v="19"/>
    <n v="0"/>
    <x v="0"/>
    <x v="0"/>
    <x v="0"/>
    <n v="6"/>
    <s v="No"/>
    <n v="2025"/>
    <n v="1"/>
    <n v="5.6472950819672132"/>
    <n v="1"/>
    <x v="1"/>
  </r>
  <r>
    <s v="S00258"/>
    <s v="P1212"/>
    <s v="hporter"/>
    <x v="1"/>
    <x v="1"/>
    <x v="4"/>
    <x v="129"/>
    <n v="142"/>
    <n v="8.64"/>
    <x v="1"/>
    <x v="1"/>
    <x v="1"/>
    <n v="25"/>
    <s v="No"/>
    <n v="2025"/>
    <n v="1"/>
    <n v="5.6705349794238682"/>
    <n v="0"/>
    <x v="1"/>
  </r>
  <r>
    <s v="S00259"/>
    <s v="P8750"/>
    <s v="garciaisabel"/>
    <x v="4"/>
    <x v="2"/>
    <x v="2"/>
    <x v="136"/>
    <n v="31"/>
    <n v="0"/>
    <x v="0"/>
    <x v="0"/>
    <x v="0"/>
    <n v="49"/>
    <s v="No"/>
    <n v="2025"/>
    <n v="4"/>
    <n v="5.6582644628099183"/>
    <n v="1"/>
    <x v="1"/>
  </r>
  <r>
    <s v="S00260"/>
    <s v="P2956"/>
    <s v="rsuarez"/>
    <x v="1"/>
    <x v="0"/>
    <x v="1"/>
    <x v="35"/>
    <n v="26"/>
    <n v="0"/>
    <x v="0"/>
    <x v="0"/>
    <x v="1"/>
    <n v="5"/>
    <s v="No"/>
    <n v="2025"/>
    <n v="3"/>
    <n v="5.6817427385892127"/>
    <n v="1"/>
    <x v="1"/>
  </r>
  <r>
    <s v="S00261"/>
    <s v="P7483"/>
    <s v="murrayaaron"/>
    <x v="1"/>
    <x v="0"/>
    <x v="0"/>
    <x v="60"/>
    <n v="144"/>
    <n v="40.29"/>
    <x v="2"/>
    <x v="2"/>
    <x v="1"/>
    <n v="1"/>
    <s v="Yes"/>
    <n v="2025"/>
    <n v="6"/>
    <n v="5.7054166666666672"/>
    <n v="0"/>
    <x v="1"/>
  </r>
  <r>
    <s v="S00262"/>
    <s v="P3905"/>
    <s v="stephen73"/>
    <x v="4"/>
    <x v="2"/>
    <x v="2"/>
    <x v="43"/>
    <n v="6"/>
    <n v="0"/>
    <x v="0"/>
    <x v="0"/>
    <x v="0"/>
    <n v="7"/>
    <s v="No"/>
    <n v="2025"/>
    <n v="4"/>
    <n v="5.5607112970711308"/>
    <n v="1"/>
    <x v="1"/>
  </r>
  <r>
    <s v="S00263"/>
    <s v="P2082"/>
    <s v="iadkins"/>
    <x v="1"/>
    <x v="0"/>
    <x v="2"/>
    <x v="49"/>
    <n v="176"/>
    <n v="44.39"/>
    <x v="3"/>
    <x v="0"/>
    <x v="1"/>
    <n v="18"/>
    <s v="Yes"/>
    <n v="2025"/>
    <n v="5"/>
    <n v="5.5840756302521015"/>
    <n v="1"/>
    <x v="0"/>
  </r>
  <r>
    <s v="S00264"/>
    <s v="P6567"/>
    <s v="smithshawn"/>
    <x v="0"/>
    <x v="2"/>
    <x v="0"/>
    <x v="95"/>
    <n v="175"/>
    <n v="0"/>
    <x v="0"/>
    <x v="3"/>
    <x v="0"/>
    <n v="22"/>
    <s v="Yes"/>
    <n v="2024"/>
    <n v="12"/>
    <n v="5.420337552742617"/>
    <n v="0"/>
    <x v="0"/>
  </r>
  <r>
    <s v="S00265"/>
    <s v="P2068"/>
    <s v="vanessasmith"/>
    <x v="2"/>
    <x v="1"/>
    <x v="4"/>
    <x v="125"/>
    <n v="131"/>
    <n v="0"/>
    <x v="0"/>
    <x v="1"/>
    <x v="0"/>
    <n v="3"/>
    <s v="No"/>
    <n v="2025"/>
    <n v="1"/>
    <n v="5.4433050847457629"/>
    <n v="0"/>
    <x v="1"/>
  </r>
  <r>
    <s v="S00266"/>
    <s v="P4801"/>
    <s v="annaroy"/>
    <x v="3"/>
    <x v="1"/>
    <x v="5"/>
    <x v="11"/>
    <n v="17"/>
    <n v="0"/>
    <x v="0"/>
    <x v="0"/>
    <x v="1"/>
    <n v="37"/>
    <s v="No"/>
    <n v="2025"/>
    <n v="4"/>
    <n v="5.4664680851063832"/>
    <n v="1"/>
    <x v="1"/>
  </r>
  <r>
    <s v="S00267"/>
    <s v="P9642"/>
    <s v="dfloyd"/>
    <x v="4"/>
    <x v="1"/>
    <x v="0"/>
    <x v="137"/>
    <n v="128"/>
    <n v="0"/>
    <x v="0"/>
    <x v="0"/>
    <x v="0"/>
    <n v="15"/>
    <s v="No"/>
    <n v="2025"/>
    <n v="6"/>
    <n v="5.4898290598290602"/>
    <n v="1"/>
    <x v="1"/>
  </r>
  <r>
    <s v="S00268"/>
    <s v="P4625"/>
    <s v="maryrodriguez"/>
    <x v="4"/>
    <x v="2"/>
    <x v="2"/>
    <x v="138"/>
    <n v="39"/>
    <n v="0"/>
    <x v="0"/>
    <x v="0"/>
    <x v="0"/>
    <n v="18"/>
    <s v="No"/>
    <n v="2025"/>
    <n v="5"/>
    <n v="5.5133905579399149"/>
    <n v="1"/>
    <x v="1"/>
  </r>
  <r>
    <s v="S00269"/>
    <s v="P3615"/>
    <s v="tamarafowler"/>
    <x v="1"/>
    <x v="1"/>
    <x v="0"/>
    <x v="13"/>
    <n v="122"/>
    <n v="0"/>
    <x v="0"/>
    <x v="0"/>
    <x v="0"/>
    <n v="28"/>
    <s v="No"/>
    <n v="2025"/>
    <n v="5"/>
    <n v="5.5371551724137937"/>
    <n v="1"/>
    <x v="1"/>
  </r>
  <r>
    <s v="S00270"/>
    <s v="P9094"/>
    <s v="nsmith"/>
    <x v="3"/>
    <x v="2"/>
    <x v="5"/>
    <x v="36"/>
    <n v="15"/>
    <n v="0"/>
    <x v="0"/>
    <x v="0"/>
    <x v="1"/>
    <n v="47"/>
    <s v="No"/>
    <n v="2025"/>
    <n v="1"/>
    <n v="5.5611255411255414"/>
    <n v="1"/>
    <x v="1"/>
  </r>
  <r>
    <s v="S00271"/>
    <s v="P7072"/>
    <s v="matthew23"/>
    <x v="1"/>
    <x v="0"/>
    <x v="2"/>
    <x v="43"/>
    <n v="166"/>
    <n v="47.72"/>
    <x v="4"/>
    <x v="0"/>
    <x v="1"/>
    <n v="40"/>
    <s v="Yes"/>
    <n v="2025"/>
    <n v="4"/>
    <n v="5.5853043478260878"/>
    <n v="1"/>
    <x v="1"/>
  </r>
  <r>
    <s v="S00272"/>
    <s v="P4911"/>
    <s v="mmorgan"/>
    <x v="2"/>
    <x v="2"/>
    <x v="2"/>
    <x v="35"/>
    <n v="91"/>
    <n v="45.51"/>
    <x v="4"/>
    <x v="0"/>
    <x v="1"/>
    <n v="8"/>
    <s v="Yes"/>
    <n v="2025"/>
    <n v="3"/>
    <n v="5.4013100436681221"/>
    <n v="1"/>
    <x v="1"/>
  </r>
  <r>
    <s v="S00273"/>
    <s v="P5122"/>
    <s v="ronaldkennedy"/>
    <x v="0"/>
    <x v="2"/>
    <x v="2"/>
    <x v="67"/>
    <n v="52"/>
    <n v="0"/>
    <x v="0"/>
    <x v="0"/>
    <x v="0"/>
    <n v="3"/>
    <s v="No"/>
    <n v="2025"/>
    <n v="4"/>
    <n v="5.2253947368421043"/>
    <n v="1"/>
    <x v="1"/>
  </r>
  <r>
    <s v="S00274"/>
    <s v="P4950"/>
    <s v="megan08"/>
    <x v="4"/>
    <x v="2"/>
    <x v="2"/>
    <x v="90"/>
    <n v="130"/>
    <n v="0"/>
    <x v="0"/>
    <x v="0"/>
    <x v="0"/>
    <n v="49"/>
    <s v="No"/>
    <n v="2025"/>
    <n v="1"/>
    <n v="5.2484140969162993"/>
    <n v="1"/>
    <x v="1"/>
  </r>
  <r>
    <s v="S00275"/>
    <s v="P7472"/>
    <s v="kcook"/>
    <x v="4"/>
    <x v="1"/>
    <x v="1"/>
    <x v="34"/>
    <n v="87"/>
    <n v="0"/>
    <x v="0"/>
    <x v="0"/>
    <x v="0"/>
    <n v="33"/>
    <s v="No"/>
    <n v="2025"/>
    <n v="4"/>
    <n v="5.2716371681415923"/>
    <n v="1"/>
    <x v="1"/>
  </r>
  <r>
    <s v="S00276"/>
    <s v="P2232"/>
    <s v="donovantrevor"/>
    <x v="1"/>
    <x v="2"/>
    <x v="2"/>
    <x v="22"/>
    <n v="71"/>
    <n v="0"/>
    <x v="0"/>
    <x v="0"/>
    <x v="0"/>
    <n v="38"/>
    <s v="No"/>
    <n v="2025"/>
    <n v="3"/>
    <n v="5.2950666666666661"/>
    <n v="1"/>
    <x v="1"/>
  </r>
  <r>
    <s v="S00277"/>
    <s v="P8649"/>
    <s v="melanie33"/>
    <x v="1"/>
    <x v="1"/>
    <x v="2"/>
    <x v="139"/>
    <n v="63"/>
    <n v="0"/>
    <x v="0"/>
    <x v="0"/>
    <x v="0"/>
    <n v="49"/>
    <s v="No"/>
    <n v="2025"/>
    <n v="3"/>
    <n v="5.3187053571428562"/>
    <n v="1"/>
    <x v="1"/>
  </r>
  <r>
    <s v="S00278"/>
    <s v="P7465"/>
    <s v="foxdawn"/>
    <x v="1"/>
    <x v="0"/>
    <x v="2"/>
    <x v="140"/>
    <n v="175"/>
    <n v="0"/>
    <x v="0"/>
    <x v="1"/>
    <x v="0"/>
    <n v="33"/>
    <s v="Yes"/>
    <n v="2025"/>
    <n v="3"/>
    <n v="5.3425560538116583"/>
    <n v="0"/>
    <x v="0"/>
  </r>
  <r>
    <s v="S00279"/>
    <s v="P8384"/>
    <s v="walkernathan"/>
    <x v="4"/>
    <x v="2"/>
    <x v="4"/>
    <x v="103"/>
    <n v="91"/>
    <n v="0"/>
    <x v="0"/>
    <x v="0"/>
    <x v="0"/>
    <n v="22"/>
    <s v="No"/>
    <n v="2025"/>
    <n v="2"/>
    <n v="5.3666216216216212"/>
    <n v="1"/>
    <x v="1"/>
  </r>
  <r>
    <s v="S00280"/>
    <s v="P9835"/>
    <s v="leslie88"/>
    <x v="0"/>
    <x v="0"/>
    <x v="2"/>
    <x v="31"/>
    <n v="127"/>
    <n v="40.21"/>
    <x v="3"/>
    <x v="0"/>
    <x v="1"/>
    <n v="38"/>
    <s v="Yes"/>
    <n v="2025"/>
    <n v="2"/>
    <n v="5.3909049773755653"/>
    <n v="1"/>
    <x v="1"/>
  </r>
  <r>
    <s v="S00281"/>
    <s v="P5712"/>
    <s v="brandon14"/>
    <x v="1"/>
    <x v="0"/>
    <x v="3"/>
    <x v="141"/>
    <n v="179"/>
    <n v="0"/>
    <x v="0"/>
    <x v="0"/>
    <x v="1"/>
    <n v="34"/>
    <s v="Yes"/>
    <n v="2025"/>
    <n v="1"/>
    <n v="5.232636363636364"/>
    <n v="1"/>
    <x v="0"/>
  </r>
  <r>
    <s v="S00282"/>
    <s v="P7701"/>
    <s v="carmenbutler"/>
    <x v="2"/>
    <x v="1"/>
    <x v="1"/>
    <x v="44"/>
    <n v="160"/>
    <n v="0"/>
    <x v="0"/>
    <x v="0"/>
    <x v="0"/>
    <n v="1"/>
    <s v="Yes"/>
    <n v="2025"/>
    <n v="3"/>
    <n v="5.256529680365297"/>
    <n v="1"/>
    <x v="1"/>
  </r>
  <r>
    <s v="S00283"/>
    <s v="P7004"/>
    <s v="monicaharris"/>
    <x v="0"/>
    <x v="2"/>
    <x v="5"/>
    <x v="76"/>
    <n v="175"/>
    <n v="0"/>
    <x v="0"/>
    <x v="0"/>
    <x v="0"/>
    <n v="1"/>
    <s v="Yes"/>
    <n v="2025"/>
    <n v="4"/>
    <n v="5.2806422018348629"/>
    <n v="1"/>
    <x v="0"/>
  </r>
  <r>
    <s v="S00284"/>
    <s v="P4597"/>
    <s v="john69"/>
    <x v="2"/>
    <x v="2"/>
    <x v="2"/>
    <x v="31"/>
    <n v="112"/>
    <n v="13.89"/>
    <x v="3"/>
    <x v="1"/>
    <x v="1"/>
    <n v="25"/>
    <s v="No"/>
    <n v="2025"/>
    <n v="2"/>
    <n v="5.3049769585253461"/>
    <n v="0"/>
    <x v="1"/>
  </r>
  <r>
    <s v="S00285"/>
    <s v="P3464"/>
    <s v="ryan43"/>
    <x v="0"/>
    <x v="0"/>
    <x v="3"/>
    <x v="53"/>
    <n v="85"/>
    <n v="0"/>
    <x v="0"/>
    <x v="2"/>
    <x v="0"/>
    <n v="24"/>
    <s v="No"/>
    <n v="2025"/>
    <n v="6"/>
    <n v="5.2652314814814813"/>
    <n v="0"/>
    <x v="1"/>
  </r>
  <r>
    <s v="S00286"/>
    <s v="P1653"/>
    <s v="jeffreybaker"/>
    <x v="3"/>
    <x v="2"/>
    <x v="3"/>
    <x v="15"/>
    <n v="16"/>
    <n v="0"/>
    <x v="0"/>
    <x v="1"/>
    <x v="0"/>
    <n v="6"/>
    <s v="No"/>
    <n v="2025"/>
    <n v="1"/>
    <n v="5.2897209302325576"/>
    <n v="0"/>
    <x v="1"/>
  </r>
  <r>
    <s v="S00287"/>
    <s v="P8328"/>
    <s v="floresnatalie"/>
    <x v="3"/>
    <x v="2"/>
    <x v="2"/>
    <x v="142"/>
    <n v="80"/>
    <n v="0"/>
    <x v="0"/>
    <x v="0"/>
    <x v="0"/>
    <n v="16"/>
    <s v="No"/>
    <n v="2025"/>
    <n v="2"/>
    <n v="5.3144392523364488"/>
    <n v="1"/>
    <x v="1"/>
  </r>
  <r>
    <s v="S00288"/>
    <s v="P8167"/>
    <s v="tyler13"/>
    <x v="0"/>
    <x v="1"/>
    <x v="1"/>
    <x v="113"/>
    <n v="69"/>
    <n v="0"/>
    <x v="0"/>
    <x v="3"/>
    <x v="1"/>
    <n v="17"/>
    <s v="No"/>
    <n v="2025"/>
    <n v="3"/>
    <n v="5.3393896713615021"/>
    <n v="0"/>
    <x v="1"/>
  </r>
  <r>
    <s v="S00289"/>
    <s v="P6334"/>
    <s v="erictrujillo"/>
    <x v="2"/>
    <x v="0"/>
    <x v="1"/>
    <x v="14"/>
    <n v="25"/>
    <n v="0"/>
    <x v="0"/>
    <x v="0"/>
    <x v="0"/>
    <n v="34"/>
    <s v="No"/>
    <n v="2025"/>
    <n v="3"/>
    <n v="5.3645754716981129"/>
    <n v="1"/>
    <x v="1"/>
  </r>
  <r>
    <s v="S00290"/>
    <s v="P4420"/>
    <s v="wanda82"/>
    <x v="3"/>
    <x v="2"/>
    <x v="5"/>
    <x v="128"/>
    <n v="154"/>
    <n v="0"/>
    <x v="0"/>
    <x v="0"/>
    <x v="1"/>
    <n v="14"/>
    <s v="Yes"/>
    <n v="2024"/>
    <n v="12"/>
    <n v="5.39"/>
    <n v="1"/>
    <x v="1"/>
  </r>
  <r>
    <s v="S00291"/>
    <s v="P6223"/>
    <s v="raymondjenna"/>
    <x v="2"/>
    <x v="2"/>
    <x v="3"/>
    <x v="47"/>
    <n v="66"/>
    <n v="0"/>
    <x v="0"/>
    <x v="2"/>
    <x v="0"/>
    <n v="4"/>
    <s v="No"/>
    <n v="2025"/>
    <n v="4"/>
    <n v="5.4156666666666666"/>
    <n v="0"/>
    <x v="1"/>
  </r>
  <r>
    <s v="S00292"/>
    <s v="P2113"/>
    <s v="cassandrarice"/>
    <x v="1"/>
    <x v="0"/>
    <x v="2"/>
    <x v="32"/>
    <n v="164"/>
    <n v="14.33"/>
    <x v="4"/>
    <x v="0"/>
    <x v="1"/>
    <n v="4"/>
    <s v="Yes"/>
    <n v="2025"/>
    <n v="5"/>
    <n v="5.4415789473684208"/>
    <n v="1"/>
    <x v="1"/>
  </r>
  <r>
    <s v="S00293"/>
    <s v="P6122"/>
    <s v="browndenise"/>
    <x v="4"/>
    <x v="0"/>
    <x v="0"/>
    <x v="53"/>
    <n v="9"/>
    <n v="0"/>
    <x v="0"/>
    <x v="0"/>
    <x v="0"/>
    <n v="10"/>
    <s v="No"/>
    <n v="2025"/>
    <n v="6"/>
    <n v="5.3988461538461543"/>
    <n v="1"/>
    <x v="1"/>
  </r>
  <r>
    <s v="S00294"/>
    <s v="P2984"/>
    <s v="jenniferrollins"/>
    <x v="0"/>
    <x v="1"/>
    <x v="0"/>
    <x v="46"/>
    <n v="31"/>
    <n v="0"/>
    <x v="0"/>
    <x v="1"/>
    <x v="0"/>
    <n v="23"/>
    <s v="No"/>
    <n v="2025"/>
    <n v="5"/>
    <n v="5.4249275362318841"/>
    <n v="0"/>
    <x v="1"/>
  </r>
  <r>
    <s v="S00295"/>
    <s v="P8996"/>
    <s v="sbrown"/>
    <x v="4"/>
    <x v="1"/>
    <x v="1"/>
    <x v="143"/>
    <n v="61"/>
    <n v="0"/>
    <x v="0"/>
    <x v="0"/>
    <x v="0"/>
    <n v="30"/>
    <s v="No"/>
    <n v="2025"/>
    <n v="1"/>
    <n v="5.4512621359223301"/>
    <n v="1"/>
    <x v="1"/>
  </r>
  <r>
    <s v="S00296"/>
    <s v="P1051"/>
    <s v="kevin42"/>
    <x v="4"/>
    <x v="2"/>
    <x v="4"/>
    <x v="14"/>
    <n v="178"/>
    <n v="0"/>
    <x v="0"/>
    <x v="0"/>
    <x v="0"/>
    <n v="30"/>
    <s v="Yes"/>
    <n v="2025"/>
    <n v="3"/>
    <n v="5.4778536585365858"/>
    <n v="1"/>
    <x v="0"/>
  </r>
  <r>
    <s v="S00297"/>
    <s v="P2001"/>
    <s v="yrichardson"/>
    <x v="0"/>
    <x v="2"/>
    <x v="0"/>
    <x v="57"/>
    <n v="68"/>
    <n v="0"/>
    <x v="0"/>
    <x v="0"/>
    <x v="0"/>
    <n v="21"/>
    <s v="No"/>
    <n v="2025"/>
    <n v="5"/>
    <n v="5.5047058823529413"/>
    <n v="1"/>
    <x v="1"/>
  </r>
  <r>
    <s v="S00298"/>
    <s v="P1898"/>
    <s v="yperez"/>
    <x v="2"/>
    <x v="2"/>
    <x v="0"/>
    <x v="81"/>
    <n v="174"/>
    <n v="0"/>
    <x v="0"/>
    <x v="2"/>
    <x v="0"/>
    <n v="50"/>
    <s v="Yes"/>
    <n v="2024"/>
    <n v="12"/>
    <n v="5.5318226600985225"/>
    <n v="0"/>
    <x v="0"/>
  </r>
  <r>
    <s v="S00299"/>
    <s v="P2792"/>
    <s v="rileyjohn"/>
    <x v="2"/>
    <x v="1"/>
    <x v="4"/>
    <x v="94"/>
    <n v="42"/>
    <n v="0"/>
    <x v="0"/>
    <x v="0"/>
    <x v="0"/>
    <n v="15"/>
    <s v="No"/>
    <n v="2025"/>
    <n v="2"/>
    <n v="5.5592079207920797"/>
    <n v="1"/>
    <x v="1"/>
  </r>
  <r>
    <s v="S00300"/>
    <s v="P8477"/>
    <s v="smallalice"/>
    <x v="1"/>
    <x v="0"/>
    <x v="0"/>
    <x v="15"/>
    <n v="90"/>
    <n v="0"/>
    <x v="0"/>
    <x v="2"/>
    <x v="0"/>
    <n v="3"/>
    <s v="No"/>
    <n v="2025"/>
    <n v="1"/>
    <n v="5.5868656716417915"/>
    <n v="0"/>
    <x v="1"/>
  </r>
  <r>
    <s v="S00301"/>
    <s v="P1529"/>
    <s v="nicole11"/>
    <x v="4"/>
    <x v="1"/>
    <x v="1"/>
    <x v="31"/>
    <n v="70"/>
    <n v="19.62"/>
    <x v="4"/>
    <x v="0"/>
    <x v="1"/>
    <n v="47"/>
    <s v="No"/>
    <n v="2025"/>
    <n v="2"/>
    <n v="5.6147999999999998"/>
    <n v="1"/>
    <x v="1"/>
  </r>
  <r>
    <s v="S00302"/>
    <s v="P5078"/>
    <s v="elizabeth99"/>
    <x v="3"/>
    <x v="1"/>
    <x v="2"/>
    <x v="91"/>
    <n v="93"/>
    <n v="0"/>
    <x v="0"/>
    <x v="0"/>
    <x v="0"/>
    <n v="47"/>
    <s v="No"/>
    <n v="2025"/>
    <n v="4"/>
    <n v="5.5444221105527633"/>
    <n v="1"/>
    <x v="1"/>
  </r>
  <r>
    <s v="S00303"/>
    <s v="P8482"/>
    <s v="hornjoshua"/>
    <x v="0"/>
    <x v="2"/>
    <x v="0"/>
    <x v="110"/>
    <n v="155"/>
    <n v="31.24"/>
    <x v="3"/>
    <x v="0"/>
    <x v="1"/>
    <n v="33"/>
    <s v="Yes"/>
    <n v="2025"/>
    <n v="5"/>
    <n v="5.5724242424242423"/>
    <n v="1"/>
    <x v="1"/>
  </r>
  <r>
    <s v="S00304"/>
    <s v="P1757"/>
    <s v="thomas29"/>
    <x v="3"/>
    <x v="1"/>
    <x v="2"/>
    <x v="144"/>
    <n v="122"/>
    <n v="40.31"/>
    <x v="3"/>
    <x v="0"/>
    <x v="1"/>
    <n v="33"/>
    <s v="Yes"/>
    <n v="2025"/>
    <n v="5"/>
    <n v="5.4421319796954313"/>
    <n v="1"/>
    <x v="1"/>
  </r>
  <r>
    <s v="S00305"/>
    <s v="P2330"/>
    <s v="davidmendoza"/>
    <x v="4"/>
    <x v="0"/>
    <x v="2"/>
    <x v="14"/>
    <n v="62"/>
    <n v="0"/>
    <x v="0"/>
    <x v="3"/>
    <x v="0"/>
    <n v="19"/>
    <s v="No"/>
    <n v="2025"/>
    <n v="3"/>
    <n v="5.2642346938775511"/>
    <n v="0"/>
    <x v="1"/>
  </r>
  <r>
    <s v="S00306"/>
    <s v="P2906"/>
    <s v="jacob24"/>
    <x v="4"/>
    <x v="2"/>
    <x v="0"/>
    <x v="13"/>
    <n v="31"/>
    <n v="0"/>
    <x v="0"/>
    <x v="0"/>
    <x v="0"/>
    <n v="18"/>
    <s v="No"/>
    <n v="2025"/>
    <n v="5"/>
    <n v="5.2912307692307694"/>
    <n v="1"/>
    <x v="1"/>
  </r>
  <r>
    <s v="S00307"/>
    <s v="P9068"/>
    <s v="nthompson"/>
    <x v="0"/>
    <x v="1"/>
    <x v="3"/>
    <x v="6"/>
    <n v="109"/>
    <n v="0"/>
    <x v="0"/>
    <x v="0"/>
    <x v="0"/>
    <n v="40"/>
    <s v="No"/>
    <n v="2025"/>
    <n v="4"/>
    <n v="5.3185051546391753"/>
    <n v="1"/>
    <x v="1"/>
  </r>
  <r>
    <s v="S00308"/>
    <s v="P6026"/>
    <s v="ogarcia"/>
    <x v="2"/>
    <x v="0"/>
    <x v="0"/>
    <x v="31"/>
    <n v="178"/>
    <n v="38.369999999999997"/>
    <x v="3"/>
    <x v="0"/>
    <x v="1"/>
    <n v="32"/>
    <s v="Yes"/>
    <n v="2025"/>
    <n v="2"/>
    <n v="5.3460621761658027"/>
    <n v="1"/>
    <x v="0"/>
  </r>
  <r>
    <s v="S00309"/>
    <s v="P8611"/>
    <s v="cheyennebenton"/>
    <x v="0"/>
    <x v="1"/>
    <x v="3"/>
    <x v="7"/>
    <n v="34"/>
    <n v="0"/>
    <x v="0"/>
    <x v="0"/>
    <x v="0"/>
    <n v="12"/>
    <s v="No"/>
    <n v="2025"/>
    <n v="1"/>
    <n v="5.1740625000000007"/>
    <n v="1"/>
    <x v="1"/>
  </r>
  <r>
    <s v="S00310"/>
    <s v="P5092"/>
    <s v="owenssherry"/>
    <x v="3"/>
    <x v="0"/>
    <x v="0"/>
    <x v="145"/>
    <n v="139"/>
    <n v="0"/>
    <x v="0"/>
    <x v="0"/>
    <x v="0"/>
    <n v="1"/>
    <s v="No"/>
    <n v="2025"/>
    <n v="6"/>
    <n v="5.2011518324607335"/>
    <n v="1"/>
    <x v="1"/>
  </r>
  <r>
    <s v="S00311"/>
    <s v="P6038"/>
    <s v="tbarker"/>
    <x v="0"/>
    <x v="1"/>
    <x v="3"/>
    <x v="55"/>
    <n v="81"/>
    <n v="0"/>
    <x v="0"/>
    <x v="3"/>
    <x v="0"/>
    <n v="21"/>
    <s v="No"/>
    <n v="2025"/>
    <n v="1"/>
    <n v="5.228526315789475"/>
    <n v="0"/>
    <x v="1"/>
  </r>
  <r>
    <s v="S00312"/>
    <s v="P5060"/>
    <s v="fmason"/>
    <x v="0"/>
    <x v="1"/>
    <x v="4"/>
    <x v="146"/>
    <n v="13"/>
    <n v="0"/>
    <x v="0"/>
    <x v="0"/>
    <x v="0"/>
    <n v="12"/>
    <s v="No"/>
    <n v="2024"/>
    <n v="12"/>
    <n v="5.2561904761904774"/>
    <n v="1"/>
    <x v="1"/>
  </r>
  <r>
    <s v="S00313"/>
    <s v="P9354"/>
    <s v="jameswanda"/>
    <x v="0"/>
    <x v="2"/>
    <x v="5"/>
    <x v="15"/>
    <n v="85"/>
    <n v="0"/>
    <x v="0"/>
    <x v="0"/>
    <x v="0"/>
    <n v="28"/>
    <s v="No"/>
    <n v="2025"/>
    <n v="1"/>
    <n v="5.2841489361702134"/>
    <n v="1"/>
    <x v="1"/>
  </r>
  <r>
    <s v="S00314"/>
    <s v="P6556"/>
    <s v="dennis63"/>
    <x v="2"/>
    <x v="0"/>
    <x v="4"/>
    <x v="44"/>
    <n v="158"/>
    <n v="0"/>
    <x v="0"/>
    <x v="1"/>
    <x v="0"/>
    <n v="22"/>
    <s v="Yes"/>
    <n v="2025"/>
    <n v="3"/>
    <n v="5.3124064171123004"/>
    <n v="0"/>
    <x v="1"/>
  </r>
  <r>
    <s v="S00315"/>
    <s v="P6685"/>
    <s v="coreyperez"/>
    <x v="0"/>
    <x v="0"/>
    <x v="2"/>
    <x v="147"/>
    <n v="140"/>
    <n v="0"/>
    <x v="0"/>
    <x v="0"/>
    <x v="0"/>
    <n v="1"/>
    <s v="No"/>
    <n v="2025"/>
    <n v="4"/>
    <n v="5.3409677419354846"/>
    <n v="1"/>
    <x v="1"/>
  </r>
  <r>
    <s v="S00316"/>
    <s v="P3050"/>
    <s v="gonzalezcindy"/>
    <x v="3"/>
    <x v="2"/>
    <x v="5"/>
    <x v="77"/>
    <n v="179"/>
    <n v="0"/>
    <x v="0"/>
    <x v="0"/>
    <x v="0"/>
    <n v="5"/>
    <s v="Yes"/>
    <n v="2025"/>
    <n v="3"/>
    <n v="5.3698378378378386"/>
    <n v="1"/>
    <x v="0"/>
  </r>
  <r>
    <s v="S00317"/>
    <s v="P2939"/>
    <s v="millersarah"/>
    <x v="2"/>
    <x v="2"/>
    <x v="4"/>
    <x v="7"/>
    <n v="73"/>
    <n v="0"/>
    <x v="0"/>
    <x v="3"/>
    <x v="0"/>
    <n v="15"/>
    <s v="No"/>
    <n v="2025"/>
    <n v="1"/>
    <n v="5.3990217391304354"/>
    <n v="0"/>
    <x v="1"/>
  </r>
  <r>
    <s v="S00318"/>
    <s v="P4946"/>
    <s v="thompsontodd"/>
    <x v="4"/>
    <x v="2"/>
    <x v="0"/>
    <x v="77"/>
    <n v="83"/>
    <n v="0"/>
    <x v="0"/>
    <x v="0"/>
    <x v="0"/>
    <n v="1"/>
    <s v="No"/>
    <n v="2025"/>
    <n v="3"/>
    <n v="5.4285245901639358"/>
    <n v="1"/>
    <x v="1"/>
  </r>
  <r>
    <s v="S00319"/>
    <s v="P2067"/>
    <s v="waltersnicholas"/>
    <x v="1"/>
    <x v="2"/>
    <x v="2"/>
    <x v="148"/>
    <n v="152"/>
    <n v="0"/>
    <x v="0"/>
    <x v="0"/>
    <x v="0"/>
    <n v="31"/>
    <s v="Yes"/>
    <n v="2025"/>
    <n v="1"/>
    <n v="5.4583516483516492"/>
    <n v="1"/>
    <x v="1"/>
  </r>
  <r>
    <s v="S00320"/>
    <s v="P1338"/>
    <s v="hharris"/>
    <x v="0"/>
    <x v="2"/>
    <x v="1"/>
    <x v="86"/>
    <n v="156"/>
    <n v="0"/>
    <x v="0"/>
    <x v="1"/>
    <x v="0"/>
    <n v="14"/>
    <s v="Yes"/>
    <n v="2025"/>
    <n v="1"/>
    <n v="5.4885082872928184"/>
    <n v="0"/>
    <x v="1"/>
  </r>
  <r>
    <s v="S00321"/>
    <s v="P3964"/>
    <s v="kristopheralvarez"/>
    <x v="1"/>
    <x v="1"/>
    <x v="5"/>
    <x v="46"/>
    <n v="33"/>
    <n v="0"/>
    <x v="0"/>
    <x v="1"/>
    <x v="0"/>
    <n v="7"/>
    <s v="No"/>
    <n v="2025"/>
    <n v="5"/>
    <n v="5.519000000000001"/>
    <n v="0"/>
    <x v="1"/>
  </r>
  <r>
    <s v="S00322"/>
    <s v="P6010"/>
    <s v="emilyking"/>
    <x v="0"/>
    <x v="2"/>
    <x v="4"/>
    <x v="148"/>
    <n v="128"/>
    <n v="0"/>
    <x v="0"/>
    <x v="0"/>
    <x v="0"/>
    <n v="35"/>
    <s v="No"/>
    <n v="2025"/>
    <n v="1"/>
    <n v="5.5498324022346379"/>
    <n v="1"/>
    <x v="1"/>
  </r>
  <r>
    <s v="S00323"/>
    <s v="P7890"/>
    <s v="bobbyanderson"/>
    <x v="0"/>
    <x v="1"/>
    <x v="4"/>
    <x v="30"/>
    <n v="58"/>
    <n v="0"/>
    <x v="0"/>
    <x v="3"/>
    <x v="0"/>
    <n v="15"/>
    <s v="No"/>
    <n v="2025"/>
    <n v="2"/>
    <n v="5.5810112359550574"/>
    <n v="0"/>
    <x v="1"/>
  </r>
  <r>
    <s v="S00324"/>
    <s v="P5731"/>
    <s v="erinhansen"/>
    <x v="2"/>
    <x v="1"/>
    <x v="4"/>
    <x v="146"/>
    <n v="77"/>
    <n v="0"/>
    <x v="0"/>
    <x v="0"/>
    <x v="0"/>
    <n v="11"/>
    <s v="No"/>
    <n v="2024"/>
    <n v="12"/>
    <n v="5.6125423728813573"/>
    <n v="1"/>
    <x v="1"/>
  </r>
  <r>
    <s v="S00325"/>
    <s v="P2254"/>
    <s v="gerald82"/>
    <x v="3"/>
    <x v="0"/>
    <x v="4"/>
    <x v="119"/>
    <n v="175"/>
    <n v="0"/>
    <x v="0"/>
    <x v="1"/>
    <x v="1"/>
    <n v="10"/>
    <s v="Yes"/>
    <n v="2024"/>
    <n v="12"/>
    <n v="5.6444318181818192"/>
    <n v="0"/>
    <x v="0"/>
  </r>
  <r>
    <s v="S00326"/>
    <s v="P2231"/>
    <s v="jeffreyjimenez"/>
    <x v="3"/>
    <x v="2"/>
    <x v="2"/>
    <x v="44"/>
    <n v="90"/>
    <n v="0"/>
    <x v="0"/>
    <x v="0"/>
    <x v="0"/>
    <n v="50"/>
    <s v="No"/>
    <n v="2025"/>
    <n v="3"/>
    <n v="5.676685714285715"/>
    <n v="1"/>
    <x v="1"/>
  </r>
  <r>
    <s v="S00327"/>
    <s v="P2736"/>
    <s v="lcase"/>
    <x v="4"/>
    <x v="1"/>
    <x v="1"/>
    <x v="149"/>
    <n v="142"/>
    <n v="0"/>
    <x v="0"/>
    <x v="3"/>
    <x v="0"/>
    <n v="49"/>
    <s v="No"/>
    <n v="2025"/>
    <n v="5"/>
    <n v="5.7093103448275873"/>
    <n v="0"/>
    <x v="1"/>
  </r>
  <r>
    <s v="S00328"/>
    <s v="P3118"/>
    <s v="jonathan53"/>
    <x v="1"/>
    <x v="2"/>
    <x v="5"/>
    <x v="110"/>
    <n v="102"/>
    <n v="0"/>
    <x v="0"/>
    <x v="0"/>
    <x v="1"/>
    <n v="44"/>
    <s v="No"/>
    <n v="2025"/>
    <n v="5"/>
    <n v="5.7423121387283249"/>
    <n v="1"/>
    <x v="1"/>
  </r>
  <r>
    <s v="S00329"/>
    <s v="P3169"/>
    <s v="ethankaufman"/>
    <x v="0"/>
    <x v="1"/>
    <x v="2"/>
    <x v="99"/>
    <n v="47"/>
    <n v="0"/>
    <x v="0"/>
    <x v="0"/>
    <x v="1"/>
    <n v="49"/>
    <s v="No"/>
    <n v="2025"/>
    <n v="3"/>
    <n v="5.7756976744186055"/>
    <n v="1"/>
    <x v="1"/>
  </r>
  <r>
    <s v="S00330"/>
    <s v="P6447"/>
    <s v="jessica34"/>
    <x v="0"/>
    <x v="0"/>
    <x v="1"/>
    <x v="75"/>
    <n v="100"/>
    <n v="0"/>
    <x v="0"/>
    <x v="0"/>
    <x v="0"/>
    <n v="25"/>
    <s v="No"/>
    <n v="2025"/>
    <n v="5"/>
    <n v="5.809473684210527"/>
    <n v="1"/>
    <x v="1"/>
  </r>
  <r>
    <s v="S00331"/>
    <s v="P1496"/>
    <s v="newtonjose"/>
    <x v="0"/>
    <x v="2"/>
    <x v="4"/>
    <x v="19"/>
    <n v="30"/>
    <n v="36.799999999999997"/>
    <x v="4"/>
    <x v="2"/>
    <x v="1"/>
    <n v="24"/>
    <s v="No"/>
    <n v="2025"/>
    <n v="2"/>
    <n v="5.8436470588235307"/>
    <n v="0"/>
    <x v="1"/>
  </r>
  <r>
    <s v="S00332"/>
    <s v="P4764"/>
    <s v="johnsonjulie"/>
    <x v="2"/>
    <x v="0"/>
    <x v="0"/>
    <x v="150"/>
    <n v="180"/>
    <n v="0"/>
    <x v="0"/>
    <x v="0"/>
    <x v="0"/>
    <n v="18"/>
    <s v="Yes"/>
    <n v="2025"/>
    <n v="3"/>
    <n v="5.6604733727810652"/>
    <n v="1"/>
    <x v="0"/>
  </r>
  <r>
    <s v="S00333"/>
    <s v="P8963"/>
    <s v="justin27"/>
    <x v="4"/>
    <x v="0"/>
    <x v="2"/>
    <x v="151"/>
    <n v="18"/>
    <n v="36.07"/>
    <x v="3"/>
    <x v="0"/>
    <x v="1"/>
    <n v="4"/>
    <s v="No"/>
    <n v="2024"/>
    <n v="12"/>
    <n v="5.6941666666666668"/>
    <n v="1"/>
    <x v="1"/>
  </r>
  <r>
    <s v="S00334"/>
    <s v="P1470"/>
    <s v="jonesjames"/>
    <x v="0"/>
    <x v="0"/>
    <x v="1"/>
    <x v="38"/>
    <n v="5"/>
    <n v="14.86"/>
    <x v="3"/>
    <x v="3"/>
    <x v="1"/>
    <n v="23"/>
    <s v="No"/>
    <n v="2025"/>
    <n v="1"/>
    <n v="5.5122754491017965"/>
    <n v="0"/>
    <x v="1"/>
  </r>
  <r>
    <s v="S00335"/>
    <s v="P5228"/>
    <s v="melissa44"/>
    <x v="4"/>
    <x v="2"/>
    <x v="0"/>
    <x v="58"/>
    <n v="159"/>
    <n v="0"/>
    <x v="0"/>
    <x v="0"/>
    <x v="0"/>
    <n v="20"/>
    <s v="Yes"/>
    <n v="2025"/>
    <n v="1"/>
    <n v="5.455963855421686"/>
    <n v="1"/>
    <x v="1"/>
  </r>
  <r>
    <s v="S00336"/>
    <s v="P4680"/>
    <s v="jack69"/>
    <x v="4"/>
    <x v="2"/>
    <x v="0"/>
    <x v="152"/>
    <n v="161"/>
    <n v="45.73"/>
    <x v="1"/>
    <x v="0"/>
    <x v="1"/>
    <n v="4"/>
    <s v="Yes"/>
    <n v="2025"/>
    <n v="3"/>
    <n v="5.4890303030303027"/>
    <n v="1"/>
    <x v="1"/>
  </r>
  <r>
    <s v="S00337"/>
    <s v="P2974"/>
    <s v="maciasronald"/>
    <x v="1"/>
    <x v="0"/>
    <x v="0"/>
    <x v="153"/>
    <n v="13"/>
    <n v="0"/>
    <x v="0"/>
    <x v="2"/>
    <x v="0"/>
    <n v="49"/>
    <s v="No"/>
    <n v="2025"/>
    <n v="3"/>
    <n v="5.2436585365853672"/>
    <n v="0"/>
    <x v="1"/>
  </r>
  <r>
    <s v="S00338"/>
    <s v="P9449"/>
    <s v="douglasluke"/>
    <x v="2"/>
    <x v="2"/>
    <x v="4"/>
    <x v="6"/>
    <n v="110"/>
    <n v="0"/>
    <x v="0"/>
    <x v="0"/>
    <x v="0"/>
    <n v="40"/>
    <s v="No"/>
    <n v="2025"/>
    <n v="4"/>
    <n v="5.2758282208588962"/>
    <n v="1"/>
    <x v="1"/>
  </r>
  <r>
    <s v="S00339"/>
    <s v="P1806"/>
    <s v="michael88"/>
    <x v="4"/>
    <x v="2"/>
    <x v="5"/>
    <x v="82"/>
    <n v="22"/>
    <n v="0"/>
    <x v="0"/>
    <x v="0"/>
    <x v="0"/>
    <n v="34"/>
    <s v="No"/>
    <n v="2025"/>
    <n v="2"/>
    <n v="5.3083950617283957"/>
    <n v="1"/>
    <x v="1"/>
  </r>
  <r>
    <s v="S00340"/>
    <s v="P6015"/>
    <s v="terrychristina"/>
    <x v="1"/>
    <x v="0"/>
    <x v="4"/>
    <x v="154"/>
    <n v="168"/>
    <n v="33.729999999999997"/>
    <x v="3"/>
    <x v="0"/>
    <x v="1"/>
    <n v="48"/>
    <s v="Yes"/>
    <n v="2025"/>
    <n v="5"/>
    <n v="5.3413664596273298"/>
    <n v="1"/>
    <x v="1"/>
  </r>
  <r>
    <s v="S00341"/>
    <s v="P7017"/>
    <s v="smartin"/>
    <x v="2"/>
    <x v="2"/>
    <x v="1"/>
    <x v="73"/>
    <n v="24"/>
    <n v="0"/>
    <x v="0"/>
    <x v="0"/>
    <x v="0"/>
    <n v="41"/>
    <s v="No"/>
    <n v="2025"/>
    <n v="1"/>
    <n v="5.1639375000000012"/>
    <n v="1"/>
    <x v="1"/>
  </r>
  <r>
    <s v="S00342"/>
    <s v="P9340"/>
    <s v="davisheather"/>
    <x v="3"/>
    <x v="1"/>
    <x v="0"/>
    <x v="155"/>
    <n v="166"/>
    <n v="0"/>
    <x v="0"/>
    <x v="3"/>
    <x v="0"/>
    <n v="30"/>
    <s v="Yes"/>
    <n v="2024"/>
    <n v="12"/>
    <n v="5.1964150943396232"/>
    <n v="0"/>
    <x v="1"/>
  </r>
  <r>
    <s v="S00343"/>
    <s v="P6916"/>
    <s v="amber18"/>
    <x v="4"/>
    <x v="2"/>
    <x v="0"/>
    <x v="10"/>
    <n v="42"/>
    <n v="0"/>
    <x v="0"/>
    <x v="0"/>
    <x v="1"/>
    <n v="12"/>
    <s v="No"/>
    <n v="2025"/>
    <n v="4"/>
    <n v="5.2293037974683552"/>
    <n v="1"/>
    <x v="1"/>
  </r>
  <r>
    <s v="S00344"/>
    <s v="P9975"/>
    <s v="hollyjenkins"/>
    <x v="4"/>
    <x v="2"/>
    <x v="4"/>
    <x v="138"/>
    <n v="39"/>
    <n v="0"/>
    <x v="0"/>
    <x v="0"/>
    <x v="0"/>
    <n v="49"/>
    <s v="No"/>
    <n v="2025"/>
    <n v="5"/>
    <n v="5.2626114649681535"/>
    <n v="1"/>
    <x v="1"/>
  </r>
  <r>
    <s v="S00345"/>
    <s v="P6815"/>
    <s v="parkerpatricia"/>
    <x v="3"/>
    <x v="1"/>
    <x v="3"/>
    <x v="156"/>
    <n v="91"/>
    <n v="13.08"/>
    <x v="4"/>
    <x v="0"/>
    <x v="1"/>
    <n v="17"/>
    <s v="No"/>
    <n v="2025"/>
    <n v="4"/>
    <n v="5.2963461538461543"/>
    <n v="1"/>
    <x v="1"/>
  </r>
  <r>
    <s v="S00346"/>
    <s v="P4525"/>
    <s v="kellergregory"/>
    <x v="1"/>
    <x v="1"/>
    <x v="1"/>
    <x v="57"/>
    <n v="30"/>
    <n v="0"/>
    <x v="0"/>
    <x v="3"/>
    <x v="0"/>
    <n v="42"/>
    <s v="No"/>
    <n v="2025"/>
    <n v="5"/>
    <n v="5.2461290322580645"/>
    <n v="0"/>
    <x v="1"/>
  </r>
  <r>
    <s v="S00347"/>
    <s v="P8336"/>
    <s v="michellewilliams"/>
    <x v="0"/>
    <x v="1"/>
    <x v="3"/>
    <x v="135"/>
    <n v="44"/>
    <n v="0"/>
    <x v="0"/>
    <x v="0"/>
    <x v="0"/>
    <n v="19"/>
    <s v="No"/>
    <n v="2024"/>
    <n v="12"/>
    <n v="5.2801948051948049"/>
    <n v="1"/>
    <x v="1"/>
  </r>
  <r>
    <s v="S00348"/>
    <s v="P6418"/>
    <s v="ericmoore"/>
    <x v="1"/>
    <x v="2"/>
    <x v="5"/>
    <x v="157"/>
    <n v="57"/>
    <n v="0"/>
    <x v="0"/>
    <x v="0"/>
    <x v="1"/>
    <n v="29"/>
    <s v="No"/>
    <n v="2025"/>
    <n v="3"/>
    <n v="5.3147058823529409"/>
    <n v="1"/>
    <x v="1"/>
  </r>
  <r>
    <s v="S00349"/>
    <s v="P9419"/>
    <s v="angelaramsey"/>
    <x v="0"/>
    <x v="0"/>
    <x v="4"/>
    <x v="158"/>
    <n v="165"/>
    <n v="0"/>
    <x v="0"/>
    <x v="0"/>
    <x v="0"/>
    <n v="15"/>
    <s v="Yes"/>
    <n v="2025"/>
    <n v="5"/>
    <n v="5.3496710526315789"/>
    <n v="1"/>
    <x v="1"/>
  </r>
  <r>
    <s v="S00350"/>
    <s v="P9081"/>
    <s v="brooke04"/>
    <x v="2"/>
    <x v="0"/>
    <x v="0"/>
    <x v="70"/>
    <n v="22"/>
    <n v="0"/>
    <x v="0"/>
    <x v="0"/>
    <x v="0"/>
    <n v="22"/>
    <s v="No"/>
    <n v="2025"/>
    <n v="2"/>
    <n v="5.3850993377483443"/>
    <n v="1"/>
    <x v="1"/>
  </r>
  <r>
    <s v="S00351"/>
    <s v="P7887"/>
    <s v="nicholas09"/>
    <x v="2"/>
    <x v="0"/>
    <x v="5"/>
    <x v="0"/>
    <n v="21"/>
    <n v="0"/>
    <x v="0"/>
    <x v="0"/>
    <x v="0"/>
    <n v="46"/>
    <s v="No"/>
    <n v="2025"/>
    <n v="2"/>
    <n v="5.4210000000000003"/>
    <n v="1"/>
    <x v="1"/>
  </r>
  <r>
    <s v="S00352"/>
    <s v="P8561"/>
    <s v="boonekristen"/>
    <x v="1"/>
    <x v="1"/>
    <x v="3"/>
    <x v="69"/>
    <n v="127"/>
    <n v="0"/>
    <x v="0"/>
    <x v="0"/>
    <x v="0"/>
    <n v="13"/>
    <s v="No"/>
    <n v="2025"/>
    <n v="3"/>
    <n v="5.45738255033557"/>
    <n v="1"/>
    <x v="1"/>
  </r>
  <r>
    <s v="S00353"/>
    <s v="P2482"/>
    <s v="udavis"/>
    <x v="3"/>
    <x v="1"/>
    <x v="5"/>
    <x v="159"/>
    <n v="21"/>
    <n v="0"/>
    <x v="0"/>
    <x v="0"/>
    <x v="0"/>
    <n v="2"/>
    <s v="No"/>
    <n v="2025"/>
    <n v="2"/>
    <n v="5.4942567567567568"/>
    <n v="1"/>
    <x v="1"/>
  </r>
  <r>
    <s v="S00354"/>
    <s v="P4996"/>
    <s v="jmcknight"/>
    <x v="4"/>
    <x v="0"/>
    <x v="4"/>
    <x v="39"/>
    <n v="136"/>
    <n v="0"/>
    <x v="0"/>
    <x v="0"/>
    <x v="0"/>
    <n v="50"/>
    <s v="No"/>
    <n v="2025"/>
    <n v="3"/>
    <n v="5.5316326530612248"/>
    <n v="1"/>
    <x v="1"/>
  </r>
  <r>
    <s v="S00355"/>
    <s v="P2102"/>
    <s v="sarahlawrence"/>
    <x v="1"/>
    <x v="0"/>
    <x v="4"/>
    <x v="67"/>
    <n v="41"/>
    <n v="0"/>
    <x v="0"/>
    <x v="0"/>
    <x v="0"/>
    <n v="27"/>
    <s v="No"/>
    <n v="2025"/>
    <n v="4"/>
    <n v="5.5695205479452055"/>
    <n v="1"/>
    <x v="1"/>
  </r>
  <r>
    <s v="S00356"/>
    <s v="P9101"/>
    <s v="hardychristopher"/>
    <x v="0"/>
    <x v="1"/>
    <x v="1"/>
    <x v="4"/>
    <n v="104"/>
    <n v="0"/>
    <x v="0"/>
    <x v="0"/>
    <x v="0"/>
    <n v="14"/>
    <s v="No"/>
    <n v="2025"/>
    <n v="5"/>
    <n v="5.6079310344827586"/>
    <n v="1"/>
    <x v="1"/>
  </r>
  <r>
    <s v="S00357"/>
    <s v="P7149"/>
    <s v="sara36"/>
    <x v="1"/>
    <x v="0"/>
    <x v="1"/>
    <x v="64"/>
    <n v="84"/>
    <n v="23.18"/>
    <x v="2"/>
    <x v="0"/>
    <x v="1"/>
    <n v="2"/>
    <s v="No"/>
    <n v="2025"/>
    <n v="2"/>
    <n v="5.6468749999999996"/>
    <n v="1"/>
    <x v="1"/>
  </r>
  <r>
    <s v="S00358"/>
    <s v="P1901"/>
    <s v="leestewart"/>
    <x v="4"/>
    <x v="2"/>
    <x v="4"/>
    <x v="110"/>
    <n v="71"/>
    <n v="0"/>
    <x v="0"/>
    <x v="0"/>
    <x v="1"/>
    <n v="5"/>
    <s v="No"/>
    <n v="2025"/>
    <n v="5"/>
    <n v="5.5242657342657351"/>
    <n v="1"/>
    <x v="1"/>
  </r>
  <r>
    <s v="S00359"/>
    <s v="P8092"/>
    <s v="lisacoffey"/>
    <x v="1"/>
    <x v="0"/>
    <x v="1"/>
    <x v="103"/>
    <n v="63"/>
    <n v="0"/>
    <x v="0"/>
    <x v="1"/>
    <x v="0"/>
    <n v="4"/>
    <s v="No"/>
    <n v="2025"/>
    <n v="2"/>
    <n v="5.563169014084508"/>
    <n v="0"/>
    <x v="1"/>
  </r>
  <r>
    <s v="S00360"/>
    <s v="P9731"/>
    <s v="popelance"/>
    <x v="2"/>
    <x v="0"/>
    <x v="4"/>
    <x v="37"/>
    <n v="63"/>
    <n v="0"/>
    <x v="0"/>
    <x v="0"/>
    <x v="0"/>
    <n v="15"/>
    <s v="No"/>
    <n v="2025"/>
    <n v="5"/>
    <n v="5.6026241134751782"/>
    <n v="1"/>
    <x v="1"/>
  </r>
  <r>
    <s v="S00361"/>
    <s v="P8648"/>
    <s v="mfarley"/>
    <x v="1"/>
    <x v="1"/>
    <x v="2"/>
    <x v="59"/>
    <n v="18"/>
    <n v="0"/>
    <x v="0"/>
    <x v="0"/>
    <x v="0"/>
    <n v="16"/>
    <s v="No"/>
    <n v="2025"/>
    <n v="6"/>
    <n v="5.6426428571428584"/>
    <n v="1"/>
    <x v="1"/>
  </r>
  <r>
    <s v="S00362"/>
    <s v="P3956"/>
    <s v="ruizkimberly"/>
    <x v="2"/>
    <x v="1"/>
    <x v="1"/>
    <x v="78"/>
    <n v="73"/>
    <n v="0"/>
    <x v="0"/>
    <x v="0"/>
    <x v="0"/>
    <n v="11"/>
    <s v="No"/>
    <n v="2025"/>
    <n v="6"/>
    <n v="5.6832374100719436"/>
    <n v="1"/>
    <x v="1"/>
  </r>
  <r>
    <s v="S00363"/>
    <s v="P8050"/>
    <s v="andersonwilliam"/>
    <x v="2"/>
    <x v="0"/>
    <x v="5"/>
    <x v="141"/>
    <n v="102"/>
    <n v="0"/>
    <x v="0"/>
    <x v="0"/>
    <x v="0"/>
    <n v="2"/>
    <s v="No"/>
    <n v="2025"/>
    <n v="1"/>
    <n v="5.7244202898550736"/>
    <n v="1"/>
    <x v="1"/>
  </r>
  <r>
    <s v="S00364"/>
    <s v="P9065"/>
    <s v="andrewtran"/>
    <x v="3"/>
    <x v="0"/>
    <x v="4"/>
    <x v="143"/>
    <n v="91"/>
    <n v="0"/>
    <x v="0"/>
    <x v="0"/>
    <x v="0"/>
    <n v="31"/>
    <s v="No"/>
    <n v="2025"/>
    <n v="1"/>
    <n v="5.766204379562045"/>
    <n v="1"/>
    <x v="1"/>
  </r>
  <r>
    <s v="S00365"/>
    <s v="P1888"/>
    <s v="lynchtina"/>
    <x v="2"/>
    <x v="1"/>
    <x v="4"/>
    <x v="28"/>
    <n v="73"/>
    <n v="0"/>
    <x v="0"/>
    <x v="3"/>
    <x v="0"/>
    <n v="32"/>
    <s v="No"/>
    <n v="2025"/>
    <n v="4"/>
    <n v="5.8086029411764715"/>
    <n v="0"/>
    <x v="1"/>
  </r>
  <r>
    <s v="S00366"/>
    <s v="P8007"/>
    <s v="kelly45"/>
    <x v="4"/>
    <x v="1"/>
    <x v="3"/>
    <x v="71"/>
    <n v="80"/>
    <n v="42.33"/>
    <x v="1"/>
    <x v="0"/>
    <x v="1"/>
    <n v="23"/>
    <s v="Yes"/>
    <n v="2025"/>
    <n v="2"/>
    <n v="5.8516296296296311"/>
    <n v="1"/>
    <x v="1"/>
  </r>
  <r>
    <s v="S00367"/>
    <s v="P7375"/>
    <s v="morrisryan"/>
    <x v="3"/>
    <x v="1"/>
    <x v="3"/>
    <x v="112"/>
    <n v="6"/>
    <n v="0"/>
    <x v="0"/>
    <x v="0"/>
    <x v="0"/>
    <n v="12"/>
    <s v="No"/>
    <n v="2025"/>
    <n v="5"/>
    <n v="5.5794029850746272"/>
    <n v="1"/>
    <x v="1"/>
  </r>
  <r>
    <s v="S00368"/>
    <s v="P4682"/>
    <s v="aryan"/>
    <x v="0"/>
    <x v="1"/>
    <x v="4"/>
    <x v="133"/>
    <n v="161"/>
    <n v="0"/>
    <x v="0"/>
    <x v="0"/>
    <x v="0"/>
    <n v="25"/>
    <s v="Yes"/>
    <n v="2025"/>
    <n v="4"/>
    <n v="5.6213533834586462"/>
    <n v="1"/>
    <x v="1"/>
  </r>
  <r>
    <s v="S00369"/>
    <s v="P6367"/>
    <s v="iyoung"/>
    <x v="2"/>
    <x v="2"/>
    <x v="1"/>
    <x v="111"/>
    <n v="67"/>
    <n v="0"/>
    <x v="0"/>
    <x v="2"/>
    <x v="0"/>
    <n v="48"/>
    <s v="No"/>
    <n v="2025"/>
    <n v="2"/>
    <n v="5.6639393939393941"/>
    <n v="0"/>
    <x v="1"/>
  </r>
  <r>
    <s v="S00370"/>
    <s v="P1693"/>
    <s v="huntlawrence"/>
    <x v="3"/>
    <x v="1"/>
    <x v="3"/>
    <x v="120"/>
    <n v="144"/>
    <n v="0"/>
    <x v="0"/>
    <x v="2"/>
    <x v="0"/>
    <n v="9"/>
    <s v="No"/>
    <n v="2025"/>
    <n v="3"/>
    <n v="5.707175572519084"/>
    <n v="0"/>
    <x v="1"/>
  </r>
  <r>
    <s v="S00371"/>
    <s v="P6086"/>
    <s v="parkzachary"/>
    <x v="1"/>
    <x v="1"/>
    <x v="2"/>
    <x v="160"/>
    <n v="144"/>
    <n v="29.52"/>
    <x v="4"/>
    <x v="2"/>
    <x v="1"/>
    <n v="36"/>
    <s v="No"/>
    <n v="2025"/>
    <n v="4"/>
    <n v="5.7510769230769228"/>
    <n v="0"/>
    <x v="1"/>
  </r>
  <r>
    <s v="S00372"/>
    <s v="P1855"/>
    <s v="amandarogers"/>
    <x v="1"/>
    <x v="2"/>
    <x v="2"/>
    <x v="155"/>
    <n v="83"/>
    <n v="0"/>
    <x v="0"/>
    <x v="0"/>
    <x v="0"/>
    <n v="49"/>
    <s v="No"/>
    <n v="2024"/>
    <n v="12"/>
    <n v="5.5668217054263565"/>
    <n v="1"/>
    <x v="1"/>
  </r>
  <r>
    <s v="S00373"/>
    <s v="P9993"/>
    <s v="bharris"/>
    <x v="2"/>
    <x v="2"/>
    <x v="0"/>
    <x v="53"/>
    <n v="128"/>
    <n v="0"/>
    <x v="0"/>
    <x v="0"/>
    <x v="1"/>
    <n v="29"/>
    <s v="No"/>
    <n v="2025"/>
    <n v="6"/>
    <n v="5.6103125"/>
    <n v="1"/>
    <x v="1"/>
  </r>
  <r>
    <s v="S00374"/>
    <s v="P1603"/>
    <s v="rojasjennifer"/>
    <x v="1"/>
    <x v="2"/>
    <x v="5"/>
    <x v="123"/>
    <n v="59"/>
    <n v="0"/>
    <x v="0"/>
    <x v="0"/>
    <x v="0"/>
    <n v="36"/>
    <s v="No"/>
    <n v="2025"/>
    <n v="4"/>
    <n v="5.6544881889763783"/>
    <n v="1"/>
    <x v="1"/>
  </r>
  <r>
    <s v="S00375"/>
    <s v="P5838"/>
    <s v="christopher10"/>
    <x v="1"/>
    <x v="0"/>
    <x v="0"/>
    <x v="126"/>
    <n v="79"/>
    <n v="20.5"/>
    <x v="1"/>
    <x v="0"/>
    <x v="1"/>
    <n v="5"/>
    <s v="No"/>
    <n v="2025"/>
    <n v="5"/>
    <n v="5.6993650793650792"/>
    <n v="1"/>
    <x v="1"/>
  </r>
  <r>
    <s v="S00376"/>
    <s v="P4545"/>
    <s v="monique85"/>
    <x v="0"/>
    <x v="2"/>
    <x v="4"/>
    <x v="65"/>
    <n v="167"/>
    <n v="0"/>
    <x v="0"/>
    <x v="0"/>
    <x v="1"/>
    <n v="37"/>
    <s v="Yes"/>
    <n v="2024"/>
    <n v="12"/>
    <n v="5.5809600000000001"/>
    <n v="1"/>
    <x v="1"/>
  </r>
  <r>
    <s v="S00377"/>
    <s v="P7247"/>
    <s v="hhuff"/>
    <x v="0"/>
    <x v="0"/>
    <x v="4"/>
    <x v="104"/>
    <n v="165"/>
    <n v="21.99"/>
    <x v="1"/>
    <x v="2"/>
    <x v="1"/>
    <n v="45"/>
    <s v="Yes"/>
    <n v="2025"/>
    <n v="4"/>
    <n v="5.6259677419354839"/>
    <n v="0"/>
    <x v="1"/>
  </r>
  <r>
    <s v="S00378"/>
    <s v="P2591"/>
    <s v="caitlingonzales"/>
    <x v="0"/>
    <x v="0"/>
    <x v="4"/>
    <x v="46"/>
    <n v="109"/>
    <n v="39.869999999999997"/>
    <x v="1"/>
    <x v="0"/>
    <x v="1"/>
    <n v="13"/>
    <s v="No"/>
    <n v="2025"/>
    <n v="5"/>
    <n v="5.4929268292682929"/>
    <n v="1"/>
    <x v="1"/>
  </r>
  <r>
    <s v="S00379"/>
    <s v="P1302"/>
    <s v="tdavis"/>
    <x v="3"/>
    <x v="1"/>
    <x v="4"/>
    <x v="161"/>
    <n v="167"/>
    <n v="0"/>
    <x v="0"/>
    <x v="2"/>
    <x v="1"/>
    <n v="28"/>
    <s v="Yes"/>
    <n v="2025"/>
    <n v="3"/>
    <n v="5.2111475409836059"/>
    <n v="0"/>
    <x v="1"/>
  </r>
  <r>
    <s v="S00380"/>
    <s v="P7023"/>
    <s v="jessicacisneros"/>
    <x v="2"/>
    <x v="1"/>
    <x v="5"/>
    <x v="30"/>
    <n v="36"/>
    <n v="14.75"/>
    <x v="3"/>
    <x v="0"/>
    <x v="1"/>
    <n v="46"/>
    <s v="No"/>
    <n v="2025"/>
    <n v="2"/>
    <n v="5.2542148760330569"/>
    <n v="1"/>
    <x v="1"/>
  </r>
  <r>
    <s v="S00381"/>
    <s v="P3795"/>
    <s v="shelbyvalencia"/>
    <x v="2"/>
    <x v="1"/>
    <x v="1"/>
    <x v="99"/>
    <n v="54"/>
    <n v="0"/>
    <x v="0"/>
    <x v="0"/>
    <x v="0"/>
    <n v="25"/>
    <s v="No"/>
    <n v="2025"/>
    <n v="3"/>
    <n v="5.1750833333333324"/>
    <n v="1"/>
    <x v="1"/>
  </r>
  <r>
    <s v="S00382"/>
    <s v="P6609"/>
    <s v="jonathan22"/>
    <x v="0"/>
    <x v="0"/>
    <x v="2"/>
    <x v="79"/>
    <n v="15"/>
    <n v="0"/>
    <x v="0"/>
    <x v="0"/>
    <x v="0"/>
    <n v="19"/>
    <s v="No"/>
    <n v="2024"/>
    <n v="12"/>
    <n v="5.218571428571428"/>
    <n v="1"/>
    <x v="1"/>
  </r>
  <r>
    <s v="S00383"/>
    <s v="P8505"/>
    <s v="derrickbuck"/>
    <x v="2"/>
    <x v="0"/>
    <x v="0"/>
    <x v="147"/>
    <n v="101"/>
    <n v="0"/>
    <x v="0"/>
    <x v="3"/>
    <x v="0"/>
    <n v="41"/>
    <s v="No"/>
    <n v="2025"/>
    <n v="4"/>
    <n v="5.2627966101694907"/>
    <n v="0"/>
    <x v="1"/>
  </r>
  <r>
    <s v="S00384"/>
    <s v="P6967"/>
    <s v="zvargas"/>
    <x v="2"/>
    <x v="1"/>
    <x v="0"/>
    <x v="129"/>
    <n v="79"/>
    <n v="0"/>
    <x v="0"/>
    <x v="0"/>
    <x v="0"/>
    <n v="48"/>
    <s v="No"/>
    <n v="2025"/>
    <n v="1"/>
    <n v="5.307777777777777"/>
    <n v="1"/>
    <x v="1"/>
  </r>
  <r>
    <s v="S00385"/>
    <s v="P5442"/>
    <s v="rsutton"/>
    <x v="3"/>
    <x v="2"/>
    <x v="2"/>
    <x v="116"/>
    <n v="13"/>
    <n v="0"/>
    <x v="0"/>
    <x v="0"/>
    <x v="0"/>
    <n v="13"/>
    <s v="No"/>
    <n v="2025"/>
    <n v="4"/>
    <n v="5.3535344827586195"/>
    <n v="1"/>
    <x v="1"/>
  </r>
  <r>
    <s v="S00386"/>
    <s v="P5885"/>
    <s v="olopez"/>
    <x v="1"/>
    <x v="0"/>
    <x v="3"/>
    <x v="124"/>
    <n v="157"/>
    <n v="0"/>
    <x v="0"/>
    <x v="0"/>
    <x v="0"/>
    <n v="22"/>
    <s v="Yes"/>
    <n v="2025"/>
    <n v="1"/>
    <n v="5.4000869565217382"/>
    <n v="1"/>
    <x v="1"/>
  </r>
  <r>
    <s v="S00387"/>
    <s v="P2635"/>
    <s v="carol86"/>
    <x v="2"/>
    <x v="0"/>
    <x v="3"/>
    <x v="162"/>
    <n v="6"/>
    <n v="0"/>
    <x v="0"/>
    <x v="1"/>
    <x v="0"/>
    <n v="7"/>
    <s v="No"/>
    <n v="2025"/>
    <n v="6"/>
    <n v="5.4474561403508766"/>
    <n v="0"/>
    <x v="1"/>
  </r>
  <r>
    <s v="S00388"/>
    <s v="P6440"/>
    <s v="lisabarber"/>
    <x v="3"/>
    <x v="0"/>
    <x v="2"/>
    <x v="61"/>
    <n v="134"/>
    <n v="0"/>
    <x v="0"/>
    <x v="0"/>
    <x v="0"/>
    <n v="28"/>
    <s v="No"/>
    <n v="2025"/>
    <n v="6"/>
    <n v="5.4956637168141578"/>
    <n v="1"/>
    <x v="1"/>
  </r>
  <r>
    <s v="S00389"/>
    <s v="P4758"/>
    <s v="howardsamantha"/>
    <x v="4"/>
    <x v="2"/>
    <x v="3"/>
    <x v="131"/>
    <n v="76"/>
    <n v="37.020000000000003"/>
    <x v="3"/>
    <x v="0"/>
    <x v="1"/>
    <n v="4"/>
    <s v="No"/>
    <n v="2025"/>
    <n v="5"/>
    <n v="5.5447321428571419"/>
    <n v="1"/>
    <x v="1"/>
  </r>
  <r>
    <s v="S00390"/>
    <s v="P9103"/>
    <s v="lance41"/>
    <x v="1"/>
    <x v="0"/>
    <x v="5"/>
    <x v="37"/>
    <n v="71"/>
    <n v="0"/>
    <x v="0"/>
    <x v="0"/>
    <x v="0"/>
    <n v="46"/>
    <s v="No"/>
    <n v="2025"/>
    <n v="5"/>
    <n v="5.2611711711711706"/>
    <n v="1"/>
    <x v="1"/>
  </r>
  <r>
    <s v="S00391"/>
    <s v="P1344"/>
    <s v="williamsonkirsten"/>
    <x v="2"/>
    <x v="2"/>
    <x v="5"/>
    <x v="130"/>
    <n v="49"/>
    <n v="19.43"/>
    <x v="3"/>
    <x v="0"/>
    <x v="1"/>
    <n v="22"/>
    <s v="No"/>
    <n v="2025"/>
    <n v="1"/>
    <n v="5.3089999999999993"/>
    <n v="1"/>
    <x v="1"/>
  </r>
  <r>
    <s v="S00392"/>
    <s v="P2684"/>
    <s v="bellraymond"/>
    <x v="1"/>
    <x v="1"/>
    <x v="1"/>
    <x v="20"/>
    <n v="143"/>
    <n v="0"/>
    <x v="0"/>
    <x v="3"/>
    <x v="0"/>
    <n v="17"/>
    <s v="No"/>
    <n v="2025"/>
    <n v="5"/>
    <n v="5.1794495412844022"/>
    <n v="0"/>
    <x v="1"/>
  </r>
  <r>
    <s v="S00393"/>
    <s v="P1494"/>
    <s v="steven30"/>
    <x v="4"/>
    <x v="1"/>
    <x v="5"/>
    <x v="82"/>
    <n v="166"/>
    <n v="0"/>
    <x v="0"/>
    <x v="0"/>
    <x v="0"/>
    <n v="39"/>
    <s v="Yes"/>
    <n v="2025"/>
    <n v="2"/>
    <n v="5.2274074074074059"/>
    <n v="1"/>
    <x v="1"/>
  </r>
  <r>
    <s v="S00394"/>
    <s v="P6548"/>
    <s v="hillchristopher"/>
    <x v="1"/>
    <x v="2"/>
    <x v="3"/>
    <x v="109"/>
    <n v="34"/>
    <n v="0"/>
    <x v="0"/>
    <x v="0"/>
    <x v="0"/>
    <n v="45"/>
    <s v="No"/>
    <n v="2025"/>
    <n v="5"/>
    <n v="5.2762616822429891"/>
    <n v="1"/>
    <x v="1"/>
  </r>
  <r>
    <s v="S00395"/>
    <s v="P8926"/>
    <s v="ftyler"/>
    <x v="4"/>
    <x v="0"/>
    <x v="5"/>
    <x v="17"/>
    <n v="57"/>
    <n v="0"/>
    <x v="0"/>
    <x v="0"/>
    <x v="0"/>
    <n v="1"/>
    <s v="No"/>
    <n v="2025"/>
    <n v="1"/>
    <n v="5.3260377358490549"/>
    <n v="1"/>
    <x v="1"/>
  </r>
  <r>
    <s v="S00396"/>
    <s v="P2202"/>
    <s v="soliskyle"/>
    <x v="2"/>
    <x v="1"/>
    <x v="0"/>
    <x v="50"/>
    <n v="88"/>
    <n v="0"/>
    <x v="0"/>
    <x v="0"/>
    <x v="0"/>
    <n v="2"/>
    <s v="No"/>
    <n v="2025"/>
    <n v="3"/>
    <n v="5.3767619047619029"/>
    <n v="1"/>
    <x v="1"/>
  </r>
  <r>
    <s v="S00397"/>
    <s v="P9321"/>
    <s v="angelicawillis"/>
    <x v="0"/>
    <x v="1"/>
    <x v="2"/>
    <x v="163"/>
    <n v="75"/>
    <n v="0"/>
    <x v="0"/>
    <x v="0"/>
    <x v="0"/>
    <n v="13"/>
    <s v="No"/>
    <n v="2025"/>
    <n v="5"/>
    <n v="5.4284615384615371"/>
    <n v="1"/>
    <x v="1"/>
  </r>
  <r>
    <s v="S00398"/>
    <s v="P6922"/>
    <s v="aprince"/>
    <x v="2"/>
    <x v="2"/>
    <x v="0"/>
    <x v="82"/>
    <n v="129"/>
    <n v="0"/>
    <x v="0"/>
    <x v="3"/>
    <x v="0"/>
    <n v="37"/>
    <s v="No"/>
    <n v="2025"/>
    <n v="2"/>
    <n v="5.481165048543688"/>
    <n v="0"/>
    <x v="1"/>
  </r>
  <r>
    <s v="S00399"/>
    <s v="P6788"/>
    <s v="dylanblack"/>
    <x v="1"/>
    <x v="0"/>
    <x v="0"/>
    <x v="136"/>
    <n v="145"/>
    <n v="0"/>
    <x v="0"/>
    <x v="0"/>
    <x v="0"/>
    <n v="43"/>
    <s v="No"/>
    <n v="2025"/>
    <n v="4"/>
    <n v="5.5349019607843122"/>
    <n v="1"/>
    <x v="1"/>
  </r>
  <r>
    <s v="S00400"/>
    <s v="P1936"/>
    <s v="hoodchristopher"/>
    <x v="1"/>
    <x v="0"/>
    <x v="2"/>
    <x v="92"/>
    <n v="23"/>
    <n v="0"/>
    <x v="0"/>
    <x v="0"/>
    <x v="1"/>
    <n v="26"/>
    <s v="No"/>
    <n v="2025"/>
    <n v="1"/>
    <n v="5.5897029702970285"/>
    <n v="1"/>
    <x v="1"/>
  </r>
  <r>
    <s v="S00401"/>
    <s v="P3613"/>
    <s v="sandraclark"/>
    <x v="2"/>
    <x v="1"/>
    <x v="2"/>
    <x v="131"/>
    <n v="105"/>
    <n v="0"/>
    <x v="0"/>
    <x v="0"/>
    <x v="0"/>
    <n v="24"/>
    <s v="No"/>
    <n v="2025"/>
    <n v="5"/>
    <n v="5.6455999999999982"/>
    <n v="1"/>
    <x v="1"/>
  </r>
  <r>
    <s v="S00402"/>
    <s v="P1659"/>
    <s v="ffitzpatrick"/>
    <x v="4"/>
    <x v="0"/>
    <x v="2"/>
    <x v="49"/>
    <n v="22"/>
    <n v="42.28"/>
    <x v="2"/>
    <x v="3"/>
    <x v="1"/>
    <n v="10"/>
    <s v="Yes"/>
    <n v="2025"/>
    <n v="5"/>
    <n v="5.7026262626262607"/>
    <n v="0"/>
    <x v="1"/>
  </r>
  <r>
    <s v="S00403"/>
    <s v="P8982"/>
    <s v="dominiquejohnson"/>
    <x v="4"/>
    <x v="1"/>
    <x v="3"/>
    <x v="107"/>
    <n v="41"/>
    <n v="24.14"/>
    <x v="3"/>
    <x v="0"/>
    <x v="1"/>
    <n v="28"/>
    <s v="No"/>
    <n v="2025"/>
    <n v="6"/>
    <n v="5.3293877551020392"/>
    <n v="1"/>
    <x v="1"/>
  </r>
  <r>
    <s v="S00404"/>
    <s v="P4516"/>
    <s v="sellersgregory"/>
    <x v="2"/>
    <x v="0"/>
    <x v="3"/>
    <x v="4"/>
    <n v="9"/>
    <n v="0"/>
    <x v="0"/>
    <x v="2"/>
    <x v="0"/>
    <n v="40"/>
    <s v="No"/>
    <n v="2025"/>
    <n v="5"/>
    <n v="5.1354639175257732"/>
    <n v="0"/>
    <x v="1"/>
  </r>
  <r>
    <s v="S00405"/>
    <s v="P6700"/>
    <s v="armstrongmary"/>
    <x v="3"/>
    <x v="0"/>
    <x v="2"/>
    <x v="102"/>
    <n v="111"/>
    <n v="0"/>
    <x v="0"/>
    <x v="0"/>
    <x v="0"/>
    <n v="26"/>
    <s v="No"/>
    <n v="2025"/>
    <n v="2"/>
    <n v="5.1889583333333329"/>
    <n v="1"/>
    <x v="1"/>
  </r>
  <r>
    <s v="S00406"/>
    <s v="P3545"/>
    <s v="barnettdonna"/>
    <x v="4"/>
    <x v="2"/>
    <x v="1"/>
    <x v="110"/>
    <n v="25"/>
    <n v="0"/>
    <x v="0"/>
    <x v="0"/>
    <x v="0"/>
    <n v="12"/>
    <s v="No"/>
    <n v="2025"/>
    <n v="5"/>
    <n v="5.2435789473684213"/>
    <n v="1"/>
    <x v="1"/>
  </r>
  <r>
    <s v="S00407"/>
    <s v="P8156"/>
    <s v="melissaphillips"/>
    <x v="0"/>
    <x v="1"/>
    <x v="3"/>
    <x v="105"/>
    <n v="111"/>
    <n v="46.08"/>
    <x v="1"/>
    <x v="1"/>
    <x v="1"/>
    <n v="15"/>
    <s v="Yes"/>
    <n v="2025"/>
    <n v="2"/>
    <n v="5.2993617021276593"/>
    <n v="0"/>
    <x v="1"/>
  </r>
  <r>
    <s v="S00408"/>
    <s v="P9402"/>
    <s v="hoffmandaniel"/>
    <x v="2"/>
    <x v="0"/>
    <x v="0"/>
    <x v="0"/>
    <n v="144"/>
    <n v="0"/>
    <x v="0"/>
    <x v="3"/>
    <x v="0"/>
    <n v="36"/>
    <s v="No"/>
    <n v="2025"/>
    <n v="2"/>
    <n v="4.860860215053763"/>
    <n v="0"/>
    <x v="1"/>
  </r>
  <r>
    <s v="S00409"/>
    <s v="P2227"/>
    <s v="thomascorey"/>
    <x v="2"/>
    <x v="1"/>
    <x v="5"/>
    <x v="88"/>
    <n v="22"/>
    <n v="17.350000000000001"/>
    <x v="3"/>
    <x v="1"/>
    <x v="1"/>
    <n v="49"/>
    <s v="No"/>
    <n v="2025"/>
    <n v="1"/>
    <n v="4.9136956521739128"/>
    <n v="0"/>
    <x v="1"/>
  </r>
  <r>
    <s v="S00410"/>
    <s v="P2497"/>
    <s v="thomas01"/>
    <x v="4"/>
    <x v="0"/>
    <x v="3"/>
    <x v="105"/>
    <n v="154"/>
    <n v="0"/>
    <x v="0"/>
    <x v="0"/>
    <x v="0"/>
    <n v="27"/>
    <s v="Yes"/>
    <n v="2025"/>
    <n v="2"/>
    <n v="4.7770329670329668"/>
    <n v="1"/>
    <x v="1"/>
  </r>
  <r>
    <s v="S00411"/>
    <s v="P3311"/>
    <s v="riddleaaron"/>
    <x v="3"/>
    <x v="0"/>
    <x v="0"/>
    <x v="36"/>
    <n v="166"/>
    <n v="0"/>
    <x v="0"/>
    <x v="3"/>
    <x v="0"/>
    <n v="5"/>
    <s v="Yes"/>
    <n v="2025"/>
    <n v="1"/>
    <n v="4.830111111111111"/>
    <n v="0"/>
    <x v="1"/>
  </r>
  <r>
    <s v="S00412"/>
    <s v="P4171"/>
    <s v="tdean"/>
    <x v="2"/>
    <x v="0"/>
    <x v="0"/>
    <x v="26"/>
    <n v="16"/>
    <n v="0"/>
    <x v="0"/>
    <x v="0"/>
    <x v="1"/>
    <n v="16"/>
    <s v="No"/>
    <n v="2025"/>
    <n v="5"/>
    <n v="4.8843820224719101"/>
    <n v="1"/>
    <x v="1"/>
  </r>
  <r>
    <s v="S00413"/>
    <s v="P5355"/>
    <s v="bruce10"/>
    <x v="4"/>
    <x v="0"/>
    <x v="3"/>
    <x v="63"/>
    <n v="144"/>
    <n v="0"/>
    <x v="0"/>
    <x v="0"/>
    <x v="0"/>
    <n v="3"/>
    <s v="No"/>
    <n v="2025"/>
    <n v="1"/>
    <n v="4.9398863636363632"/>
    <n v="1"/>
    <x v="1"/>
  </r>
  <r>
    <s v="S00414"/>
    <s v="P4285"/>
    <s v="annettejackson"/>
    <x v="1"/>
    <x v="1"/>
    <x v="1"/>
    <x v="164"/>
    <n v="58"/>
    <n v="0"/>
    <x v="0"/>
    <x v="0"/>
    <x v="0"/>
    <n v="43"/>
    <s v="No"/>
    <n v="2025"/>
    <n v="5"/>
    <n v="4.9966666666666661"/>
    <n v="1"/>
    <x v="1"/>
  </r>
  <r>
    <s v="S00415"/>
    <s v="P6369"/>
    <s v="kingtroy"/>
    <x v="3"/>
    <x v="0"/>
    <x v="5"/>
    <x v="138"/>
    <n v="95"/>
    <n v="35.92"/>
    <x v="4"/>
    <x v="2"/>
    <x v="1"/>
    <n v="6"/>
    <s v="No"/>
    <n v="2025"/>
    <n v="5"/>
    <n v="5.0547674418604647"/>
    <n v="0"/>
    <x v="1"/>
  </r>
  <r>
    <s v="S00416"/>
    <s v="P1436"/>
    <s v="coxanthony"/>
    <x v="4"/>
    <x v="2"/>
    <x v="3"/>
    <x v="151"/>
    <n v="86"/>
    <n v="0"/>
    <x v="0"/>
    <x v="3"/>
    <x v="1"/>
    <n v="17"/>
    <s v="No"/>
    <n v="2024"/>
    <n v="12"/>
    <n v="4.6916470588235288"/>
    <n v="0"/>
    <x v="1"/>
  </r>
  <r>
    <s v="S00417"/>
    <s v="P5233"/>
    <s v="paige96"/>
    <x v="4"/>
    <x v="0"/>
    <x v="5"/>
    <x v="124"/>
    <n v="12"/>
    <n v="1.44"/>
    <x v="1"/>
    <x v="0"/>
    <x v="1"/>
    <n v="15"/>
    <s v="No"/>
    <n v="2025"/>
    <n v="1"/>
    <n v="4.7474999999999996"/>
    <n v="1"/>
    <x v="1"/>
  </r>
  <r>
    <s v="S00418"/>
    <s v="P5382"/>
    <s v="sabrina44"/>
    <x v="3"/>
    <x v="2"/>
    <x v="4"/>
    <x v="53"/>
    <n v="8"/>
    <n v="2.1"/>
    <x v="1"/>
    <x v="2"/>
    <x v="1"/>
    <n v="44"/>
    <s v="No"/>
    <n v="2025"/>
    <n v="6"/>
    <n v="4.7873493975903614"/>
    <n v="0"/>
    <x v="1"/>
  </r>
  <r>
    <s v="S00419"/>
    <s v="P1065"/>
    <s v="neilmorrison"/>
    <x v="0"/>
    <x v="1"/>
    <x v="1"/>
    <x v="165"/>
    <n v="180"/>
    <n v="0"/>
    <x v="0"/>
    <x v="0"/>
    <x v="0"/>
    <n v="8"/>
    <s v="Yes"/>
    <n v="2025"/>
    <n v="4"/>
    <n v="4.8201219512195115"/>
    <n v="1"/>
    <x v="0"/>
  </r>
  <r>
    <s v="S00420"/>
    <s v="P8628"/>
    <s v="russochelsey"/>
    <x v="3"/>
    <x v="1"/>
    <x v="1"/>
    <x v="49"/>
    <n v="35"/>
    <n v="13.33"/>
    <x v="4"/>
    <x v="0"/>
    <x v="1"/>
    <n v="42"/>
    <s v="No"/>
    <n v="2025"/>
    <n v="5"/>
    <n v="4.8796296296296289"/>
    <n v="1"/>
    <x v="1"/>
  </r>
  <r>
    <s v="S00421"/>
    <s v="P9217"/>
    <s v="pwright"/>
    <x v="0"/>
    <x v="0"/>
    <x v="4"/>
    <x v="48"/>
    <n v="97"/>
    <n v="3.6"/>
    <x v="2"/>
    <x v="3"/>
    <x v="1"/>
    <n v="14"/>
    <s v="No"/>
    <n v="2025"/>
    <n v="4"/>
    <n v="4.7739999999999991"/>
    <n v="0"/>
    <x v="1"/>
  </r>
  <r>
    <s v="S00422"/>
    <s v="P9334"/>
    <s v="samantha20"/>
    <x v="4"/>
    <x v="1"/>
    <x v="4"/>
    <x v="2"/>
    <n v="92"/>
    <n v="0"/>
    <x v="0"/>
    <x v="0"/>
    <x v="1"/>
    <n v="31"/>
    <s v="No"/>
    <n v="2024"/>
    <n v="12"/>
    <n v="4.7888607594936712"/>
    <n v="1"/>
    <x v="1"/>
  </r>
  <r>
    <s v="S00423"/>
    <s v="P8641"/>
    <s v="johnsonandrea"/>
    <x v="2"/>
    <x v="0"/>
    <x v="4"/>
    <x v="102"/>
    <n v="166"/>
    <n v="0"/>
    <x v="0"/>
    <x v="0"/>
    <x v="0"/>
    <n v="43"/>
    <s v="Yes"/>
    <n v="2025"/>
    <n v="2"/>
    <n v="4.8502564102564101"/>
    <n v="1"/>
    <x v="1"/>
  </r>
  <r>
    <s v="S00424"/>
    <s v="P8632"/>
    <s v="nramos"/>
    <x v="1"/>
    <x v="0"/>
    <x v="4"/>
    <x v="38"/>
    <n v="146"/>
    <n v="22.51"/>
    <x v="3"/>
    <x v="2"/>
    <x v="1"/>
    <n v="25"/>
    <s v="No"/>
    <n v="2025"/>
    <n v="1"/>
    <n v="4.913246753246753"/>
    <n v="0"/>
    <x v="1"/>
  </r>
  <r>
    <s v="S00425"/>
    <s v="P6749"/>
    <s v="pmoore"/>
    <x v="0"/>
    <x v="0"/>
    <x v="0"/>
    <x v="120"/>
    <n v="7"/>
    <n v="29.06"/>
    <x v="3"/>
    <x v="0"/>
    <x v="1"/>
    <n v="12"/>
    <s v="No"/>
    <n v="2025"/>
    <n v="3"/>
    <n v="4.681710526315789"/>
    <n v="1"/>
    <x v="1"/>
  </r>
  <r>
    <s v="S00426"/>
    <s v="P8176"/>
    <s v="enielsen"/>
    <x v="0"/>
    <x v="1"/>
    <x v="2"/>
    <x v="143"/>
    <n v="79"/>
    <n v="0"/>
    <x v="0"/>
    <x v="0"/>
    <x v="0"/>
    <n v="30"/>
    <s v="No"/>
    <n v="2025"/>
    <n v="1"/>
    <n v="4.3566666666666665"/>
    <n v="1"/>
    <x v="1"/>
  </r>
  <r>
    <s v="S00427"/>
    <s v="P9104"/>
    <s v="melissa17"/>
    <x v="1"/>
    <x v="2"/>
    <x v="1"/>
    <x v="8"/>
    <n v="39"/>
    <n v="0"/>
    <x v="0"/>
    <x v="0"/>
    <x v="0"/>
    <n v="12"/>
    <s v="No"/>
    <n v="2025"/>
    <n v="2"/>
    <n v="4.4155405405405403"/>
    <n v="1"/>
    <x v="1"/>
  </r>
  <r>
    <s v="S00428"/>
    <s v="P5582"/>
    <s v="jennifer94"/>
    <x v="1"/>
    <x v="0"/>
    <x v="5"/>
    <x v="42"/>
    <n v="9"/>
    <n v="0"/>
    <x v="0"/>
    <x v="3"/>
    <x v="0"/>
    <n v="23"/>
    <s v="No"/>
    <n v="2024"/>
    <n v="12"/>
    <n v="4.4760273972602738"/>
    <n v="0"/>
    <x v="1"/>
  </r>
  <r>
    <s v="S00429"/>
    <s v="P4908"/>
    <s v="twashington"/>
    <x v="4"/>
    <x v="2"/>
    <x v="0"/>
    <x v="166"/>
    <n v="70"/>
    <n v="11.82"/>
    <x v="3"/>
    <x v="0"/>
    <x v="1"/>
    <n v="5"/>
    <s v="No"/>
    <n v="2025"/>
    <n v="6"/>
    <n v="4.5381944444444446"/>
    <n v="1"/>
    <x v="1"/>
  </r>
  <r>
    <s v="S00430"/>
    <s v="P8542"/>
    <s v="brian05"/>
    <x v="4"/>
    <x v="1"/>
    <x v="0"/>
    <x v="129"/>
    <n v="156"/>
    <n v="0"/>
    <x v="0"/>
    <x v="0"/>
    <x v="0"/>
    <n v="6"/>
    <s v="Yes"/>
    <n v="2025"/>
    <n v="1"/>
    <n v="4.4356338028169011"/>
    <n v="1"/>
    <x v="1"/>
  </r>
  <r>
    <s v="S00431"/>
    <s v="P7163"/>
    <s v="emilynelson"/>
    <x v="1"/>
    <x v="0"/>
    <x v="4"/>
    <x v="119"/>
    <n v="159"/>
    <n v="0"/>
    <x v="0"/>
    <x v="0"/>
    <x v="0"/>
    <n v="14"/>
    <s v="Yes"/>
    <n v="2024"/>
    <n v="12"/>
    <n v="4.4989999999999997"/>
    <n v="1"/>
    <x v="1"/>
  </r>
  <r>
    <s v="S00432"/>
    <s v="P2427"/>
    <s v="kacosta"/>
    <x v="1"/>
    <x v="2"/>
    <x v="1"/>
    <x v="125"/>
    <n v="139"/>
    <n v="0"/>
    <x v="0"/>
    <x v="0"/>
    <x v="0"/>
    <n v="37"/>
    <s v="No"/>
    <n v="2025"/>
    <n v="1"/>
    <n v="4.5642028985507244"/>
    <n v="1"/>
    <x v="1"/>
  </r>
  <r>
    <s v="S00433"/>
    <s v="P1911"/>
    <s v="yvette50"/>
    <x v="0"/>
    <x v="1"/>
    <x v="1"/>
    <x v="62"/>
    <n v="25"/>
    <n v="0"/>
    <x v="0"/>
    <x v="0"/>
    <x v="1"/>
    <n v="20"/>
    <s v="No"/>
    <n v="2025"/>
    <n v="5"/>
    <n v="4.6313235294117652"/>
    <n v="1"/>
    <x v="1"/>
  </r>
  <r>
    <s v="S00434"/>
    <s v="P2246"/>
    <s v="lisajames"/>
    <x v="4"/>
    <x v="1"/>
    <x v="4"/>
    <x v="50"/>
    <n v="80"/>
    <n v="0"/>
    <x v="0"/>
    <x v="3"/>
    <x v="0"/>
    <n v="3"/>
    <s v="No"/>
    <n v="2025"/>
    <n v="3"/>
    <n v="4.7004477611940301"/>
    <n v="0"/>
    <x v="1"/>
  </r>
  <r>
    <s v="S00435"/>
    <s v="P2996"/>
    <s v="linda22"/>
    <x v="1"/>
    <x v="0"/>
    <x v="4"/>
    <x v="167"/>
    <n v="101"/>
    <n v="0"/>
    <x v="0"/>
    <x v="0"/>
    <x v="0"/>
    <n v="15"/>
    <s v="No"/>
    <n v="2025"/>
    <n v="4"/>
    <n v="4.7716666666666665"/>
    <n v="1"/>
    <x v="1"/>
  </r>
  <r>
    <s v="S00436"/>
    <s v="P9175"/>
    <s v="gregbaker"/>
    <x v="1"/>
    <x v="0"/>
    <x v="5"/>
    <x v="42"/>
    <n v="176"/>
    <n v="0"/>
    <x v="0"/>
    <x v="0"/>
    <x v="0"/>
    <n v="18"/>
    <s v="Yes"/>
    <n v="2024"/>
    <n v="12"/>
    <n v="4.8450769230769231"/>
    <n v="1"/>
    <x v="0"/>
  </r>
  <r>
    <s v="S00437"/>
    <s v="P1726"/>
    <s v="sheila89"/>
    <x v="0"/>
    <x v="2"/>
    <x v="1"/>
    <x v="31"/>
    <n v="101"/>
    <n v="0"/>
    <x v="0"/>
    <x v="3"/>
    <x v="0"/>
    <n v="5"/>
    <s v="No"/>
    <n v="2025"/>
    <n v="2"/>
    <n v="4.9207812500000001"/>
    <n v="0"/>
    <x v="1"/>
  </r>
  <r>
    <s v="S00438"/>
    <s v="P1604"/>
    <s v="pweaver"/>
    <x v="3"/>
    <x v="0"/>
    <x v="3"/>
    <x v="32"/>
    <n v="147"/>
    <n v="32.049999999999997"/>
    <x v="2"/>
    <x v="3"/>
    <x v="1"/>
    <n v="11"/>
    <s v="No"/>
    <n v="2025"/>
    <n v="5"/>
    <n v="4.9988888888888887"/>
    <n v="0"/>
    <x v="1"/>
  </r>
  <r>
    <s v="S00439"/>
    <s v="P4812"/>
    <s v="thomas99"/>
    <x v="1"/>
    <x v="1"/>
    <x v="2"/>
    <x v="88"/>
    <n v="46"/>
    <n v="0"/>
    <x v="0"/>
    <x v="0"/>
    <x v="0"/>
    <n v="4"/>
    <s v="No"/>
    <n v="2025"/>
    <n v="1"/>
    <n v="4.5625806451612902"/>
    <n v="1"/>
    <x v="1"/>
  </r>
  <r>
    <s v="S00440"/>
    <s v="P5667"/>
    <s v="victoria39"/>
    <x v="3"/>
    <x v="2"/>
    <x v="5"/>
    <x v="137"/>
    <n v="33"/>
    <n v="0"/>
    <x v="0"/>
    <x v="2"/>
    <x v="0"/>
    <n v="20"/>
    <s v="No"/>
    <n v="2025"/>
    <n v="6"/>
    <n v="4.6373770491803281"/>
    <n v="0"/>
    <x v="1"/>
  </r>
  <r>
    <s v="S00441"/>
    <s v="P4138"/>
    <s v="ecooley"/>
    <x v="0"/>
    <x v="1"/>
    <x v="0"/>
    <x v="51"/>
    <n v="150"/>
    <n v="0"/>
    <x v="0"/>
    <x v="0"/>
    <x v="0"/>
    <n v="46"/>
    <s v="No"/>
    <n v="2025"/>
    <n v="2"/>
    <n v="4.714666666666667"/>
    <n v="1"/>
    <x v="1"/>
  </r>
  <r>
    <s v="S00442"/>
    <s v="P9949"/>
    <s v="brenda52"/>
    <x v="0"/>
    <x v="0"/>
    <x v="3"/>
    <x v="149"/>
    <n v="166"/>
    <n v="0"/>
    <x v="0"/>
    <x v="0"/>
    <x v="0"/>
    <n v="27"/>
    <s v="Yes"/>
    <n v="2025"/>
    <n v="5"/>
    <n v="4.7945762711864406"/>
    <n v="1"/>
    <x v="1"/>
  </r>
  <r>
    <s v="S00443"/>
    <s v="P9493"/>
    <s v="zmendoza"/>
    <x v="3"/>
    <x v="1"/>
    <x v="3"/>
    <x v="148"/>
    <n v="96"/>
    <n v="0"/>
    <x v="0"/>
    <x v="0"/>
    <x v="1"/>
    <n v="38"/>
    <s v="No"/>
    <n v="2025"/>
    <n v="1"/>
    <n v="4.8772413793103446"/>
    <n v="1"/>
    <x v="1"/>
  </r>
  <r>
    <s v="S00444"/>
    <s v="P8787"/>
    <s v="jamesbarber"/>
    <x v="2"/>
    <x v="0"/>
    <x v="4"/>
    <x v="74"/>
    <n v="51"/>
    <n v="0"/>
    <x v="0"/>
    <x v="0"/>
    <x v="0"/>
    <n v="9"/>
    <s v="No"/>
    <n v="2025"/>
    <n v="5"/>
    <n v="4.9628070175438594"/>
    <n v="1"/>
    <x v="1"/>
  </r>
  <r>
    <s v="S00445"/>
    <s v="P6434"/>
    <s v="caitlinmiller"/>
    <x v="3"/>
    <x v="0"/>
    <x v="5"/>
    <x v="128"/>
    <n v="96"/>
    <n v="0"/>
    <x v="0"/>
    <x v="0"/>
    <x v="0"/>
    <n v="49"/>
    <s v="No"/>
    <n v="2024"/>
    <n v="12"/>
    <n v="5.0514285714285716"/>
    <n v="1"/>
    <x v="1"/>
  </r>
  <r>
    <s v="S00446"/>
    <s v="P7453"/>
    <s v="davidhunt"/>
    <x v="0"/>
    <x v="0"/>
    <x v="5"/>
    <x v="72"/>
    <n v="114"/>
    <n v="0"/>
    <x v="0"/>
    <x v="3"/>
    <x v="0"/>
    <n v="22"/>
    <s v="No"/>
    <n v="2025"/>
    <n v="5"/>
    <n v="5.143272727272727"/>
    <n v="0"/>
    <x v="1"/>
  </r>
  <r>
    <s v="S00447"/>
    <s v="P1920"/>
    <s v="fsteele"/>
    <x v="4"/>
    <x v="1"/>
    <x v="1"/>
    <x v="114"/>
    <n v="133"/>
    <n v="0"/>
    <x v="0"/>
    <x v="2"/>
    <x v="0"/>
    <n v="10"/>
    <s v="No"/>
    <n v="2024"/>
    <n v="12"/>
    <n v="5.2385185185185188"/>
    <n v="0"/>
    <x v="1"/>
  </r>
  <r>
    <s v="S00448"/>
    <s v="P1344"/>
    <s v="keithunderwood"/>
    <x v="1"/>
    <x v="0"/>
    <x v="2"/>
    <x v="165"/>
    <n v="104"/>
    <n v="9.94"/>
    <x v="2"/>
    <x v="2"/>
    <x v="1"/>
    <n v="21"/>
    <s v="No"/>
    <n v="2025"/>
    <n v="4"/>
    <n v="5.3373584905660376"/>
    <n v="0"/>
    <x v="1"/>
  </r>
  <r>
    <s v="S00449"/>
    <s v="P5705"/>
    <s v="hernandezcatherine"/>
    <x v="0"/>
    <x v="0"/>
    <x v="2"/>
    <x v="43"/>
    <n v="108"/>
    <n v="0"/>
    <x v="0"/>
    <x v="1"/>
    <x v="0"/>
    <n v="22"/>
    <s v="No"/>
    <n v="2025"/>
    <n v="4"/>
    <n v="5.2488461538461539"/>
    <n v="0"/>
    <x v="1"/>
  </r>
  <r>
    <s v="S00450"/>
    <s v="P3198"/>
    <s v="bherrera"/>
    <x v="1"/>
    <x v="1"/>
    <x v="0"/>
    <x v="12"/>
    <n v="63"/>
    <n v="0"/>
    <x v="0"/>
    <x v="0"/>
    <x v="0"/>
    <n v="25"/>
    <s v="No"/>
    <n v="2025"/>
    <n v="3"/>
    <n v="5.3517647058823528"/>
    <n v="1"/>
    <x v="1"/>
  </r>
  <r>
    <s v="S00451"/>
    <s v="P5894"/>
    <s v="chendavid"/>
    <x v="4"/>
    <x v="1"/>
    <x v="2"/>
    <x v="130"/>
    <n v="33"/>
    <n v="0"/>
    <x v="0"/>
    <x v="0"/>
    <x v="0"/>
    <n v="32"/>
    <s v="No"/>
    <n v="2025"/>
    <n v="1"/>
    <n v="5.4588000000000001"/>
    <n v="1"/>
    <x v="1"/>
  </r>
  <r>
    <s v="S00452"/>
    <s v="P9365"/>
    <s v="rware"/>
    <x v="2"/>
    <x v="1"/>
    <x v="3"/>
    <x v="9"/>
    <n v="39"/>
    <n v="0"/>
    <x v="0"/>
    <x v="0"/>
    <x v="0"/>
    <n v="42"/>
    <s v="No"/>
    <n v="2025"/>
    <n v="5"/>
    <n v="5.570204081632653"/>
    <n v="1"/>
    <x v="1"/>
  </r>
  <r>
    <s v="S00453"/>
    <s v="P7874"/>
    <s v="gloriajohnson"/>
    <x v="4"/>
    <x v="2"/>
    <x v="5"/>
    <x v="111"/>
    <n v="11"/>
    <n v="0"/>
    <x v="0"/>
    <x v="2"/>
    <x v="0"/>
    <n v="12"/>
    <s v="No"/>
    <n v="2025"/>
    <n v="2"/>
    <n v="5.6862500000000002"/>
    <n v="0"/>
    <x v="1"/>
  </r>
  <r>
    <s v="S00454"/>
    <s v="P4547"/>
    <s v="allenvictor"/>
    <x v="2"/>
    <x v="1"/>
    <x v="2"/>
    <x v="31"/>
    <n v="142"/>
    <n v="0"/>
    <x v="0"/>
    <x v="0"/>
    <x v="0"/>
    <n v="32"/>
    <s v="No"/>
    <n v="2025"/>
    <n v="2"/>
    <n v="5.8072340425531914"/>
    <n v="1"/>
    <x v="1"/>
  </r>
  <r>
    <s v="S00455"/>
    <s v="P4283"/>
    <s v="sheiladavis"/>
    <x v="3"/>
    <x v="2"/>
    <x v="1"/>
    <x v="143"/>
    <n v="123"/>
    <n v="22.4"/>
    <x v="4"/>
    <x v="0"/>
    <x v="1"/>
    <n v="33"/>
    <s v="No"/>
    <n v="2025"/>
    <n v="1"/>
    <n v="5.9334782608695651"/>
    <n v="1"/>
    <x v="1"/>
  </r>
  <r>
    <s v="S00456"/>
    <s v="P8176"/>
    <s v="tgill"/>
    <x v="0"/>
    <x v="0"/>
    <x v="4"/>
    <x v="139"/>
    <n v="132"/>
    <n v="28.89"/>
    <x v="3"/>
    <x v="0"/>
    <x v="1"/>
    <n v="26"/>
    <s v="No"/>
    <n v="2025"/>
    <n v="3"/>
    <n v="5.5675555555555558"/>
    <n v="1"/>
    <x v="1"/>
  </r>
  <r>
    <s v="S00457"/>
    <s v="P5820"/>
    <s v="lindagalloway"/>
    <x v="4"/>
    <x v="1"/>
    <x v="3"/>
    <x v="155"/>
    <n v="113"/>
    <n v="0"/>
    <x v="0"/>
    <x v="0"/>
    <x v="0"/>
    <n v="17"/>
    <s v="No"/>
    <n v="2024"/>
    <n v="12"/>
    <n v="5.0375000000000005"/>
    <n v="1"/>
    <x v="1"/>
  </r>
  <r>
    <s v="S00458"/>
    <s v="P8552"/>
    <s v="jbriggs"/>
    <x v="3"/>
    <x v="0"/>
    <x v="4"/>
    <x v="7"/>
    <n v="92"/>
    <n v="0"/>
    <x v="0"/>
    <x v="0"/>
    <x v="0"/>
    <n v="33"/>
    <s v="No"/>
    <n v="2025"/>
    <n v="1"/>
    <n v="5.1546511627906977"/>
    <n v="1"/>
    <x v="1"/>
  </r>
  <r>
    <s v="S00459"/>
    <s v="P5695"/>
    <s v="danielleonard"/>
    <x v="3"/>
    <x v="0"/>
    <x v="1"/>
    <x v="114"/>
    <n v="44"/>
    <n v="0"/>
    <x v="0"/>
    <x v="0"/>
    <x v="0"/>
    <n v="21"/>
    <s v="No"/>
    <n v="2024"/>
    <n v="12"/>
    <n v="5.2773809523809527"/>
    <n v="1"/>
    <x v="1"/>
  </r>
  <r>
    <s v="S00460"/>
    <s v="P6581"/>
    <s v="ramirezandrea"/>
    <x v="2"/>
    <x v="1"/>
    <x v="5"/>
    <x v="120"/>
    <n v="17"/>
    <n v="0"/>
    <x v="0"/>
    <x v="0"/>
    <x v="0"/>
    <n v="1"/>
    <s v="No"/>
    <n v="2025"/>
    <n v="3"/>
    <n v="5.4060975609756099"/>
    <n v="1"/>
    <x v="1"/>
  </r>
  <r>
    <s v="S00461"/>
    <s v="P4636"/>
    <s v="jeffreyjohnson"/>
    <x v="2"/>
    <x v="2"/>
    <x v="0"/>
    <x v="103"/>
    <n v="52"/>
    <n v="0"/>
    <x v="0"/>
    <x v="2"/>
    <x v="0"/>
    <n v="19"/>
    <s v="No"/>
    <n v="2025"/>
    <n v="2"/>
    <n v="5.5412499999999998"/>
    <n v="0"/>
    <x v="1"/>
  </r>
  <r>
    <s v="S00462"/>
    <s v="P2853"/>
    <s v="dannyforbes"/>
    <x v="4"/>
    <x v="1"/>
    <x v="5"/>
    <x v="38"/>
    <n v="51"/>
    <n v="20.97"/>
    <x v="4"/>
    <x v="0"/>
    <x v="1"/>
    <n v="31"/>
    <s v="No"/>
    <n v="2025"/>
    <n v="1"/>
    <n v="5.6833333333333336"/>
    <n v="1"/>
    <x v="1"/>
  </r>
  <r>
    <s v="S00463"/>
    <s v="P3252"/>
    <s v="wallacedebra"/>
    <x v="0"/>
    <x v="2"/>
    <x v="2"/>
    <x v="30"/>
    <n v="94"/>
    <n v="0"/>
    <x v="0"/>
    <x v="0"/>
    <x v="0"/>
    <n v="43"/>
    <s v="No"/>
    <n v="2025"/>
    <n v="2"/>
    <n v="5.2810526315789472"/>
    <n v="1"/>
    <x v="1"/>
  </r>
  <r>
    <s v="S00464"/>
    <s v="P2743"/>
    <s v="jennifersmith"/>
    <x v="4"/>
    <x v="1"/>
    <x v="5"/>
    <x v="57"/>
    <n v="63"/>
    <n v="0"/>
    <x v="0"/>
    <x v="0"/>
    <x v="1"/>
    <n v="43"/>
    <s v="No"/>
    <n v="2025"/>
    <n v="5"/>
    <n v="5.423783783783783"/>
    <n v="1"/>
    <x v="1"/>
  </r>
  <r>
    <s v="S00465"/>
    <s v="P1878"/>
    <s v="steven19"/>
    <x v="4"/>
    <x v="1"/>
    <x v="3"/>
    <x v="106"/>
    <n v="172"/>
    <n v="0"/>
    <x v="0"/>
    <x v="0"/>
    <x v="0"/>
    <n v="15"/>
    <s v="Yes"/>
    <n v="2025"/>
    <n v="3"/>
    <n v="5.5744444444444436"/>
    <n v="1"/>
    <x v="1"/>
  </r>
  <r>
    <s v="S00466"/>
    <s v="P1450"/>
    <s v="jacob95"/>
    <x v="1"/>
    <x v="0"/>
    <x v="1"/>
    <x v="65"/>
    <n v="38"/>
    <n v="0"/>
    <x v="0"/>
    <x v="2"/>
    <x v="0"/>
    <n v="23"/>
    <s v="No"/>
    <n v="2024"/>
    <n v="12"/>
    <n v="5.7337142857142851"/>
    <n v="0"/>
    <x v="1"/>
  </r>
  <r>
    <s v="S00467"/>
    <s v="P3228"/>
    <s v="mlewis"/>
    <x v="3"/>
    <x v="0"/>
    <x v="3"/>
    <x v="114"/>
    <n v="132"/>
    <n v="18"/>
    <x v="3"/>
    <x v="1"/>
    <x v="1"/>
    <n v="3"/>
    <s v="No"/>
    <n v="2024"/>
    <n v="12"/>
    <n v="5.9023529411764697"/>
    <n v="0"/>
    <x v="1"/>
  </r>
  <r>
    <s v="S00468"/>
    <s v="P9747"/>
    <s v="charles59"/>
    <x v="4"/>
    <x v="1"/>
    <x v="5"/>
    <x v="75"/>
    <n v="164"/>
    <n v="0"/>
    <x v="0"/>
    <x v="3"/>
    <x v="0"/>
    <n v="40"/>
    <s v="Yes"/>
    <n v="2025"/>
    <n v="5"/>
    <n v="5.5357575757575752"/>
    <n v="0"/>
    <x v="1"/>
  </r>
  <r>
    <s v="S00469"/>
    <s v="P2925"/>
    <s v="kgonzalez"/>
    <x v="3"/>
    <x v="1"/>
    <x v="0"/>
    <x v="58"/>
    <n v="166"/>
    <n v="23.59"/>
    <x v="3"/>
    <x v="0"/>
    <x v="1"/>
    <n v="19"/>
    <s v="Yes"/>
    <n v="2025"/>
    <n v="1"/>
    <n v="5.7087499999999993"/>
    <n v="1"/>
    <x v="1"/>
  </r>
  <r>
    <s v="S00470"/>
    <s v="P9769"/>
    <s v="marcus01"/>
    <x v="4"/>
    <x v="0"/>
    <x v="0"/>
    <x v="46"/>
    <n v="73"/>
    <n v="0"/>
    <x v="0"/>
    <x v="0"/>
    <x v="0"/>
    <n v="46"/>
    <s v="No"/>
    <n v="2025"/>
    <n v="5"/>
    <n v="5.1319354838709677"/>
    <n v="1"/>
    <x v="1"/>
  </r>
  <r>
    <s v="S00471"/>
    <s v="P2833"/>
    <s v="leonwells"/>
    <x v="0"/>
    <x v="2"/>
    <x v="1"/>
    <x v="83"/>
    <n v="55"/>
    <n v="40.58"/>
    <x v="2"/>
    <x v="0"/>
    <x v="1"/>
    <n v="14"/>
    <s v="Yes"/>
    <n v="2025"/>
    <n v="4"/>
    <n v="5.3029999999999999"/>
    <n v="1"/>
    <x v="1"/>
  </r>
  <r>
    <s v="S00472"/>
    <s v="P7312"/>
    <s v="erika85"/>
    <x v="4"/>
    <x v="0"/>
    <x v="4"/>
    <x v="20"/>
    <n v="22"/>
    <n v="0"/>
    <x v="0"/>
    <x v="0"/>
    <x v="0"/>
    <n v="36"/>
    <s v="No"/>
    <n v="2025"/>
    <n v="5"/>
    <n v="4.086551724137931"/>
    <n v="1"/>
    <x v="1"/>
  </r>
  <r>
    <s v="S00473"/>
    <s v="P3023"/>
    <s v="jonathonmayer"/>
    <x v="0"/>
    <x v="1"/>
    <x v="3"/>
    <x v="53"/>
    <n v="56"/>
    <n v="0"/>
    <x v="0"/>
    <x v="0"/>
    <x v="0"/>
    <n v="34"/>
    <s v="No"/>
    <n v="2025"/>
    <n v="6"/>
    <n v="4.2324999999999999"/>
    <n v="1"/>
    <x v="1"/>
  </r>
  <r>
    <s v="S00474"/>
    <s v="P4635"/>
    <s v="nicholas43"/>
    <x v="2"/>
    <x v="1"/>
    <x v="0"/>
    <x v="117"/>
    <n v="9"/>
    <n v="0"/>
    <x v="0"/>
    <x v="0"/>
    <x v="0"/>
    <n v="21"/>
    <s v="No"/>
    <n v="2025"/>
    <n v="3"/>
    <n v="4.3892592592592594"/>
    <n v="1"/>
    <x v="1"/>
  </r>
  <r>
    <s v="S00475"/>
    <s v="P8912"/>
    <s v="paula25"/>
    <x v="0"/>
    <x v="1"/>
    <x v="5"/>
    <x v="111"/>
    <n v="54"/>
    <n v="19.649999999999999"/>
    <x v="4"/>
    <x v="0"/>
    <x v="1"/>
    <n v="38"/>
    <s v="No"/>
    <n v="2025"/>
    <n v="2"/>
    <n v="4.5580769230769231"/>
    <n v="1"/>
    <x v="1"/>
  </r>
  <r>
    <s v="S00476"/>
    <s v="P9766"/>
    <s v="smithcarrie"/>
    <x v="1"/>
    <x v="1"/>
    <x v="4"/>
    <x v="97"/>
    <n v="85"/>
    <n v="0"/>
    <x v="0"/>
    <x v="3"/>
    <x v="1"/>
    <n v="12"/>
    <s v="No"/>
    <n v="2025"/>
    <n v="2"/>
    <n v="3.9544000000000006"/>
    <n v="0"/>
    <x v="1"/>
  </r>
  <r>
    <s v="S00477"/>
    <s v="P2059"/>
    <s v="valenzuelakim"/>
    <x v="0"/>
    <x v="2"/>
    <x v="2"/>
    <x v="36"/>
    <n v="111"/>
    <n v="0"/>
    <x v="0"/>
    <x v="0"/>
    <x v="0"/>
    <n v="38"/>
    <s v="No"/>
    <n v="2025"/>
    <n v="1"/>
    <n v="4.1191666666666675"/>
    <n v="1"/>
    <x v="1"/>
  </r>
  <r>
    <s v="S00478"/>
    <s v="P3378"/>
    <s v="adamsbarbara"/>
    <x v="2"/>
    <x v="0"/>
    <x v="4"/>
    <x v="74"/>
    <n v="93"/>
    <n v="0"/>
    <x v="0"/>
    <x v="0"/>
    <x v="0"/>
    <n v="26"/>
    <s v="No"/>
    <n v="2025"/>
    <n v="5"/>
    <n v="4.298260869565218"/>
    <n v="1"/>
    <x v="1"/>
  </r>
  <r>
    <s v="S00479"/>
    <s v="P5699"/>
    <s v="cathy10"/>
    <x v="2"/>
    <x v="0"/>
    <x v="1"/>
    <x v="112"/>
    <n v="103"/>
    <n v="0"/>
    <x v="0"/>
    <x v="0"/>
    <x v="0"/>
    <n v="11"/>
    <s v="No"/>
    <n v="2025"/>
    <n v="5"/>
    <n v="4.4936363636363641"/>
    <n v="1"/>
    <x v="1"/>
  </r>
  <r>
    <s v="S00480"/>
    <s v="P7340"/>
    <s v="rogersmary"/>
    <x v="0"/>
    <x v="0"/>
    <x v="5"/>
    <x v="167"/>
    <n v="44"/>
    <n v="0"/>
    <x v="0"/>
    <x v="3"/>
    <x v="0"/>
    <n v="29"/>
    <s v="No"/>
    <n v="2025"/>
    <n v="4"/>
    <n v="4.7076190476190485"/>
    <n v="0"/>
    <x v="1"/>
  </r>
  <r>
    <s v="S00481"/>
    <s v="P5458"/>
    <s v="georgejones"/>
    <x v="4"/>
    <x v="2"/>
    <x v="3"/>
    <x v="64"/>
    <n v="134"/>
    <n v="0"/>
    <x v="0"/>
    <x v="0"/>
    <x v="0"/>
    <n v="41"/>
    <s v="No"/>
    <n v="2025"/>
    <n v="2"/>
    <n v="4.9430000000000005"/>
    <n v="1"/>
    <x v="1"/>
  </r>
  <r>
    <s v="S00482"/>
    <s v="P6129"/>
    <s v="donna27"/>
    <x v="1"/>
    <x v="1"/>
    <x v="3"/>
    <x v="49"/>
    <n v="167"/>
    <n v="0"/>
    <x v="0"/>
    <x v="0"/>
    <x v="0"/>
    <n v="28"/>
    <s v="Yes"/>
    <n v="2025"/>
    <n v="5"/>
    <n v="5.2031578947368429"/>
    <n v="1"/>
    <x v="1"/>
  </r>
  <r>
    <s v="S00483"/>
    <s v="P6524"/>
    <s v="jhayes"/>
    <x v="1"/>
    <x v="1"/>
    <x v="3"/>
    <x v="39"/>
    <n v="149"/>
    <n v="5.05"/>
    <x v="1"/>
    <x v="0"/>
    <x v="1"/>
    <n v="44"/>
    <s v="No"/>
    <n v="2025"/>
    <n v="3"/>
    <n v="5.4922222222222228"/>
    <n v="1"/>
    <x v="1"/>
  </r>
  <r>
    <s v="S00484"/>
    <s v="P3747"/>
    <s v="neallisa"/>
    <x v="0"/>
    <x v="2"/>
    <x v="5"/>
    <x v="28"/>
    <n v="139"/>
    <n v="0"/>
    <x v="0"/>
    <x v="0"/>
    <x v="0"/>
    <n v="19"/>
    <s v="No"/>
    <n v="2025"/>
    <n v="4"/>
    <n v="5.5182352941176473"/>
    <n v="1"/>
    <x v="1"/>
  </r>
  <r>
    <s v="S00485"/>
    <s v="P3923"/>
    <s v="evanskristen"/>
    <x v="3"/>
    <x v="1"/>
    <x v="0"/>
    <x v="106"/>
    <n v="64"/>
    <n v="0"/>
    <x v="0"/>
    <x v="1"/>
    <x v="0"/>
    <n v="33"/>
    <s v="No"/>
    <n v="2025"/>
    <n v="3"/>
    <n v="5.8631250000000001"/>
    <n v="0"/>
    <x v="1"/>
  </r>
  <r>
    <s v="S00486"/>
    <s v="P1788"/>
    <s v="bhenson"/>
    <x v="2"/>
    <x v="2"/>
    <x v="0"/>
    <x v="91"/>
    <n v="86"/>
    <n v="0"/>
    <x v="0"/>
    <x v="0"/>
    <x v="0"/>
    <n v="17"/>
    <s v="No"/>
    <n v="2025"/>
    <n v="4"/>
    <n v="6.2540000000000004"/>
    <n v="1"/>
    <x v="1"/>
  </r>
  <r>
    <s v="S00487"/>
    <s v="P2044"/>
    <s v="hgardner"/>
    <x v="2"/>
    <x v="1"/>
    <x v="0"/>
    <x v="121"/>
    <n v="13"/>
    <n v="0"/>
    <x v="0"/>
    <x v="0"/>
    <x v="0"/>
    <n v="47"/>
    <s v="No"/>
    <n v="2025"/>
    <n v="4"/>
    <n v="6.7007142857142856"/>
    <n v="1"/>
    <x v="1"/>
  </r>
  <r>
    <s v="S00488"/>
    <s v="P1977"/>
    <s v="mckinneychristopher"/>
    <x v="2"/>
    <x v="1"/>
    <x v="0"/>
    <x v="166"/>
    <n v="11"/>
    <n v="20.66"/>
    <x v="3"/>
    <x v="0"/>
    <x v="1"/>
    <n v="40"/>
    <s v="No"/>
    <n v="2025"/>
    <n v="6"/>
    <n v="7.2161538461538459"/>
    <n v="1"/>
    <x v="1"/>
  </r>
  <r>
    <s v="S00489"/>
    <s v="P1280"/>
    <s v="elizabeth71"/>
    <x v="0"/>
    <x v="1"/>
    <x v="4"/>
    <x v="52"/>
    <n v="55"/>
    <n v="0"/>
    <x v="0"/>
    <x v="2"/>
    <x v="0"/>
    <n v="26"/>
    <s v="No"/>
    <n v="2025"/>
    <n v="1"/>
    <n v="6.0958333333333341"/>
    <n v="0"/>
    <x v="1"/>
  </r>
  <r>
    <s v="S00490"/>
    <s v="P9973"/>
    <s v="ilambert"/>
    <x v="3"/>
    <x v="0"/>
    <x v="5"/>
    <x v="149"/>
    <n v="146"/>
    <n v="0"/>
    <x v="0"/>
    <x v="1"/>
    <x v="0"/>
    <n v="2"/>
    <s v="No"/>
    <n v="2025"/>
    <n v="5"/>
    <n v="6.65"/>
    <n v="0"/>
    <x v="1"/>
  </r>
  <r>
    <s v="S00491"/>
    <s v="P8692"/>
    <s v="millerdonald"/>
    <x v="3"/>
    <x v="2"/>
    <x v="4"/>
    <x v="32"/>
    <n v="179"/>
    <n v="0"/>
    <x v="0"/>
    <x v="0"/>
    <x v="0"/>
    <n v="10"/>
    <s v="Yes"/>
    <n v="2025"/>
    <n v="5"/>
    <n v="7.3150000000000004"/>
    <n v="1"/>
    <x v="0"/>
  </r>
  <r>
    <s v="S00492"/>
    <s v="P6606"/>
    <s v="krogers"/>
    <x v="2"/>
    <x v="2"/>
    <x v="2"/>
    <x v="22"/>
    <n v="63"/>
    <n v="0"/>
    <x v="0"/>
    <x v="0"/>
    <x v="0"/>
    <n v="4"/>
    <s v="No"/>
    <n v="2025"/>
    <n v="3"/>
    <n v="8.1277777777777782"/>
    <n v="1"/>
    <x v="1"/>
  </r>
  <r>
    <s v="S00493"/>
    <s v="P2133"/>
    <s v="scott72"/>
    <x v="1"/>
    <x v="2"/>
    <x v="0"/>
    <x v="168"/>
    <n v="21"/>
    <n v="0"/>
    <x v="0"/>
    <x v="0"/>
    <x v="0"/>
    <n v="22"/>
    <s v="No"/>
    <n v="2025"/>
    <n v="4"/>
    <n v="9.1437500000000007"/>
    <n v="1"/>
    <x v="1"/>
  </r>
  <r>
    <s v="S00494"/>
    <s v="P3534"/>
    <s v="simsalexis"/>
    <x v="3"/>
    <x v="2"/>
    <x v="0"/>
    <x v="28"/>
    <n v="56"/>
    <n v="46.31"/>
    <x v="4"/>
    <x v="0"/>
    <x v="1"/>
    <n v="11"/>
    <s v="Yes"/>
    <n v="2025"/>
    <n v="4"/>
    <n v="10.450000000000001"/>
    <n v="1"/>
    <x v="1"/>
  </r>
  <r>
    <s v="S00495"/>
    <s v="P7831"/>
    <s v="kingsandra"/>
    <x v="4"/>
    <x v="0"/>
    <x v="5"/>
    <x v="169"/>
    <n v="171"/>
    <n v="0"/>
    <x v="0"/>
    <x v="0"/>
    <x v="0"/>
    <n v="35"/>
    <s v="Yes"/>
    <n v="2025"/>
    <n v="1"/>
    <n v="4.4733333333333336"/>
    <n v="1"/>
    <x v="1"/>
  </r>
  <r>
    <s v="S00496"/>
    <s v="P2872"/>
    <s v="april12"/>
    <x v="0"/>
    <x v="1"/>
    <x v="2"/>
    <x v="5"/>
    <n v="24"/>
    <n v="0"/>
    <x v="0"/>
    <x v="0"/>
    <x v="1"/>
    <n v="33"/>
    <s v="No"/>
    <n v="2025"/>
    <n v="3"/>
    <n v="5.3680000000000003"/>
    <n v="1"/>
    <x v="1"/>
  </r>
  <r>
    <s v="S00497"/>
    <s v="P1457"/>
    <s v="turnersusan"/>
    <x v="4"/>
    <x v="1"/>
    <x v="5"/>
    <x v="19"/>
    <n v="157"/>
    <n v="26.84"/>
    <x v="1"/>
    <x v="0"/>
    <x v="1"/>
    <n v="25"/>
    <s v="Yes"/>
    <n v="2025"/>
    <n v="2"/>
    <n v="6.71"/>
    <n v="1"/>
    <x v="1"/>
  </r>
  <r>
    <s v="S00498"/>
    <s v="P6771"/>
    <s v="kenneth92"/>
    <x v="0"/>
    <x v="2"/>
    <x v="5"/>
    <x v="132"/>
    <n v="44"/>
    <n v="0"/>
    <x v="0"/>
    <x v="0"/>
    <x v="0"/>
    <n v="42"/>
    <s v="No"/>
    <n v="2025"/>
    <n v="1"/>
    <n v="0"/>
    <n v="1"/>
    <x v="1"/>
  </r>
  <r>
    <s v="S00499"/>
    <s v="P1107"/>
    <s v="victoria57"/>
    <x v="3"/>
    <x v="1"/>
    <x v="4"/>
    <x v="130"/>
    <n v="172"/>
    <n v="0"/>
    <x v="0"/>
    <x v="2"/>
    <x v="0"/>
    <n v="4"/>
    <s v="Yes"/>
    <n v="2025"/>
    <n v="1"/>
    <n v="0"/>
    <n v="0"/>
    <x v="1"/>
  </r>
  <r>
    <s v="S00500"/>
    <s v="P4402"/>
    <s v="fnolan"/>
    <x v="0"/>
    <x v="0"/>
    <x v="2"/>
    <x v="79"/>
    <n v="20"/>
    <n v="0"/>
    <x v="0"/>
    <x v="0"/>
    <x v="1"/>
    <n v="30"/>
    <s v="No"/>
    <n v="2024"/>
    <n v="12"/>
    <n v="0"/>
    <n v="1"/>
    <x v="1"/>
  </r>
</pivotCacheRecords>
</file>

<file path=xl/pivotCache/pivotCacheRecords2.xml><?xml version="1.0" encoding="utf-8"?>
<pivotCacheRecords xmlns="http://schemas.openxmlformats.org/spreadsheetml/2006/main" xmlns:r="http://schemas.openxmlformats.org/officeDocument/2006/relationships" count="500">
  <r>
    <s v="S00001"/>
    <s v="P3652"/>
    <s v="harrisrichard"/>
    <x v="0"/>
    <x v="0"/>
    <x v="0"/>
    <d v="2025-02-08T00:00:00"/>
    <n v="179"/>
    <n v="0"/>
    <x v="0"/>
    <s v="Completed"/>
    <x v="0"/>
    <n v="42"/>
    <s v="Yes"/>
    <n v="2025"/>
    <n v="2"/>
    <n v="5.2625399999999996"/>
    <n v="1"/>
  </r>
  <r>
    <s v="S00002"/>
    <s v="P9981"/>
    <s v="wlee"/>
    <x v="1"/>
    <x v="1"/>
    <x v="1"/>
    <d v="2024-12-16T00:00:00"/>
    <n v="75"/>
    <n v="26.02"/>
    <x v="1"/>
    <s v="Completed"/>
    <x v="1"/>
    <n v="11"/>
    <s v="No"/>
    <n v="2024"/>
    <n v="12"/>
    <n v="5.2730861723446889"/>
    <n v="1"/>
  </r>
  <r>
    <s v="S00003"/>
    <s v="P5280"/>
    <s v="katie47"/>
    <x v="2"/>
    <x v="0"/>
    <x v="0"/>
    <d v="2024-12-17T00:00:00"/>
    <n v="36"/>
    <n v="2.94"/>
    <x v="2"/>
    <s v="Completed"/>
    <x v="1"/>
    <n v="4"/>
    <s v="No"/>
    <n v="2024"/>
    <n v="12"/>
    <n v="5.2314257028112454"/>
    <n v="1"/>
  </r>
  <r>
    <s v="S00004"/>
    <s v="P2930"/>
    <s v="isaac85"/>
    <x v="3"/>
    <x v="1"/>
    <x v="1"/>
    <d v="2025-06-12T00:00:00"/>
    <n v="153"/>
    <n v="0"/>
    <x v="0"/>
    <s v="Completed"/>
    <x v="0"/>
    <n v="18"/>
    <s v="Yes"/>
    <n v="2025"/>
    <n v="6"/>
    <n v="5.2360362173038224"/>
    <n v="1"/>
  </r>
  <r>
    <s v="S00005"/>
    <s v="P7925"/>
    <s v="ballarddouglas"/>
    <x v="1"/>
    <x v="1"/>
    <x v="2"/>
    <d v="2025-05-21T00:00:00"/>
    <n v="109"/>
    <n v="5.48"/>
    <x v="1"/>
    <s v="Crashed"/>
    <x v="1"/>
    <n v="5"/>
    <s v="No"/>
    <n v="2025"/>
    <n v="5"/>
    <n v="5.2465927419354834"/>
    <n v="0"/>
  </r>
  <r>
    <s v="S00006"/>
    <s v="P9919"/>
    <s v="lrichardson"/>
    <x v="1"/>
    <x v="1"/>
    <x v="2"/>
    <d v="2025-03-27T00:00:00"/>
    <n v="46"/>
    <n v="0"/>
    <x v="0"/>
    <s v="Crashed"/>
    <x v="0"/>
    <n v="39"/>
    <s v="No"/>
    <n v="2025"/>
    <n v="3"/>
    <n v="5.2461212121212117"/>
    <n v="0"/>
  </r>
  <r>
    <s v="S00007"/>
    <s v="P7231"/>
    <s v="holmesbruce"/>
    <x v="3"/>
    <x v="0"/>
    <x v="3"/>
    <d v="2025-04-12T00:00:00"/>
    <n v="134"/>
    <n v="42.57"/>
    <x v="3"/>
    <s v="Exited Early"/>
    <x v="1"/>
    <n v="40"/>
    <s v="Yes"/>
    <n v="2025"/>
    <n v="4"/>
    <n v="5.2567408906882589"/>
    <n v="0"/>
  </r>
  <r>
    <s v="S00008"/>
    <s v="P5965"/>
    <s v="lhansen"/>
    <x v="0"/>
    <x v="2"/>
    <x v="4"/>
    <d v="2025-01-09T00:00:00"/>
    <n v="38"/>
    <n v="0"/>
    <x v="0"/>
    <s v="Exited Early"/>
    <x v="0"/>
    <n v="14"/>
    <s v="No"/>
    <n v="2025"/>
    <n v="1"/>
    <n v="5.1810547667342792"/>
    <n v="0"/>
  </r>
  <r>
    <s v="S00009"/>
    <s v="P3834"/>
    <s v="alexis47"/>
    <x v="3"/>
    <x v="2"/>
    <x v="0"/>
    <d v="2025-02-07T00:00:00"/>
    <n v="24"/>
    <n v="0"/>
    <x v="0"/>
    <s v="Exited Early"/>
    <x v="0"/>
    <n v="45"/>
    <s v="No"/>
    <n v="2025"/>
    <n v="2"/>
    <n v="5.1915853658536584"/>
    <n v="0"/>
  </r>
  <r>
    <s v="S00010"/>
    <s v="P4220"/>
    <s v="ryanmarshall"/>
    <x v="1"/>
    <x v="2"/>
    <x v="2"/>
    <d v="2025-05-14T00:00:00"/>
    <n v="138"/>
    <n v="0"/>
    <x v="0"/>
    <s v="Exited Early"/>
    <x v="0"/>
    <n v="48"/>
    <s v="No"/>
    <n v="2025"/>
    <n v="5"/>
    <n v="5.202158859470468"/>
    <n v="0"/>
  </r>
  <r>
    <s v="S00011"/>
    <s v="P1038"/>
    <s v="alexandriaparrish"/>
    <x v="2"/>
    <x v="0"/>
    <x v="2"/>
    <d v="2025-04-09T00:00:00"/>
    <n v="26"/>
    <n v="0"/>
    <x v="0"/>
    <s v="Crashed"/>
    <x v="0"/>
    <n v="27"/>
    <s v="No"/>
    <n v="2025"/>
    <n v="4"/>
    <n v="5.2127755102040814"/>
    <n v="0"/>
  </r>
  <r>
    <s v="S00012"/>
    <s v="P7407"/>
    <s v="jacobhaynes"/>
    <x v="1"/>
    <x v="2"/>
    <x v="2"/>
    <d v="2025-04-21T00:00:00"/>
    <n v="142"/>
    <n v="0"/>
    <x v="0"/>
    <s v="Completed"/>
    <x v="0"/>
    <n v="23"/>
    <s v="No"/>
    <n v="2025"/>
    <n v="4"/>
    <n v="5.2234355828220851"/>
    <n v="1"/>
  </r>
  <r>
    <s v="S00013"/>
    <s v="P4776"/>
    <s v="xjoseph"/>
    <x v="2"/>
    <x v="1"/>
    <x v="4"/>
    <d v="2025-03-08T00:00:00"/>
    <n v="100"/>
    <n v="0"/>
    <x v="0"/>
    <s v="Completed"/>
    <x v="0"/>
    <n v="36"/>
    <s v="No"/>
    <n v="2025"/>
    <n v="3"/>
    <n v="5.234139344262295"/>
    <n v="1"/>
  </r>
  <r>
    <s v="S00014"/>
    <s v="P6935"/>
    <s v="yjohnson"/>
    <x v="0"/>
    <x v="2"/>
    <x v="0"/>
    <d v="2025-05-17T00:00:00"/>
    <n v="78"/>
    <n v="0"/>
    <x v="0"/>
    <s v="Completed"/>
    <x v="0"/>
    <n v="35"/>
    <s v="No"/>
    <n v="2025"/>
    <n v="5"/>
    <n v="5.24488706365503"/>
    <n v="1"/>
  </r>
  <r>
    <s v="S00015"/>
    <s v="P9150"/>
    <s v="lesliemiller"/>
    <x v="4"/>
    <x v="2"/>
    <x v="5"/>
    <d v="2025-03-03T00:00:00"/>
    <n v="151"/>
    <n v="0"/>
    <x v="0"/>
    <s v="Completed"/>
    <x v="0"/>
    <n v="47"/>
    <s v="Yes"/>
    <n v="2025"/>
    <n v="3"/>
    <n v="5.2556790123456789"/>
    <n v="1"/>
  </r>
  <r>
    <s v="S00016"/>
    <s v="P9796"/>
    <s v="raynatalie"/>
    <x v="0"/>
    <x v="1"/>
    <x v="0"/>
    <d v="2025-01-07T00:00:00"/>
    <n v="163"/>
    <n v="0"/>
    <x v="0"/>
    <s v="Completed"/>
    <x v="0"/>
    <n v="50"/>
    <s v="Yes"/>
    <n v="2025"/>
    <n v="1"/>
    <n v="5.2665154639175249"/>
    <n v="1"/>
  </r>
  <r>
    <s v="S00017"/>
    <s v="P5317"/>
    <s v="xtaylor"/>
    <x v="0"/>
    <x v="2"/>
    <x v="0"/>
    <d v="2025-01-24T00:00:00"/>
    <n v="128"/>
    <n v="0"/>
    <x v="0"/>
    <s v="Incomplete"/>
    <x v="0"/>
    <n v="7"/>
    <s v="No"/>
    <n v="2025"/>
    <n v="1"/>
    <n v="5.2773966942148753"/>
    <n v="0"/>
  </r>
  <r>
    <s v="S00018"/>
    <s v="P5320"/>
    <s v="aguilarjennifer"/>
    <x v="4"/>
    <x v="0"/>
    <x v="3"/>
    <d v="2025-01-28T00:00:00"/>
    <n v="173"/>
    <n v="0"/>
    <x v="0"/>
    <s v="Exited Early"/>
    <x v="0"/>
    <n v="30"/>
    <s v="Yes"/>
    <n v="2025"/>
    <n v="1"/>
    <n v="5.2883229813664592"/>
    <n v="0"/>
  </r>
  <r>
    <s v="S00019"/>
    <s v="P8261"/>
    <s v="lmeza"/>
    <x v="2"/>
    <x v="1"/>
    <x v="2"/>
    <d v="2025-04-22T00:00:00"/>
    <n v="49"/>
    <n v="0"/>
    <x v="0"/>
    <s v="Exited Early"/>
    <x v="0"/>
    <n v="47"/>
    <s v="No"/>
    <n v="2025"/>
    <n v="4"/>
    <n v="5.2992946058091279"/>
    <n v="0"/>
  </r>
  <r>
    <s v="S00020"/>
    <s v="P6549"/>
    <s v="michael06"/>
    <x v="1"/>
    <x v="1"/>
    <x v="1"/>
    <d v="2025-02-14T00:00:00"/>
    <n v="94"/>
    <n v="0"/>
    <x v="0"/>
    <s v="Crashed"/>
    <x v="0"/>
    <n v="48"/>
    <s v="No"/>
    <n v="2025"/>
    <n v="2"/>
    <n v="5.3103118503118498"/>
    <n v="0"/>
  </r>
  <r>
    <s v="S00021"/>
    <s v="P1758"/>
    <s v="lawsonderrick"/>
    <x v="0"/>
    <x v="2"/>
    <x v="3"/>
    <d v="2025-05-31T00:00:00"/>
    <n v="168"/>
    <n v="0"/>
    <x v="0"/>
    <s v="Completed"/>
    <x v="0"/>
    <n v="33"/>
    <s v="Yes"/>
    <n v="2025"/>
    <n v="5"/>
    <n v="5.3213749999999997"/>
    <n v="1"/>
  </r>
  <r>
    <s v="S00022"/>
    <s v="P5785"/>
    <s v="icrawford"/>
    <x v="3"/>
    <x v="0"/>
    <x v="2"/>
    <d v="2025-05-13T00:00:00"/>
    <n v="86"/>
    <n v="0"/>
    <x v="0"/>
    <s v="Completed"/>
    <x v="0"/>
    <n v="34"/>
    <s v="No"/>
    <n v="2025"/>
    <n v="5"/>
    <n v="5.3324843423799582"/>
    <n v="1"/>
  </r>
  <r>
    <s v="S00023"/>
    <s v="P4722"/>
    <s v="david54"/>
    <x v="1"/>
    <x v="0"/>
    <x v="2"/>
    <d v="2025-03-22T00:00:00"/>
    <n v="58"/>
    <n v="0"/>
    <x v="0"/>
    <s v="Completed"/>
    <x v="0"/>
    <n v="37"/>
    <s v="No"/>
    <n v="2025"/>
    <n v="3"/>
    <n v="5.3436401673640166"/>
    <n v="1"/>
  </r>
  <r>
    <s v="S00024"/>
    <s v="P8146"/>
    <s v="rcraig"/>
    <x v="2"/>
    <x v="2"/>
    <x v="5"/>
    <d v="2025-03-24T00:00:00"/>
    <n v="121"/>
    <n v="7.28"/>
    <x v="1"/>
    <s v="Completed"/>
    <x v="1"/>
    <n v="34"/>
    <s v="No"/>
    <n v="2025"/>
    <n v="3"/>
    <n v="5.3548427672955974"/>
    <n v="1"/>
  </r>
  <r>
    <s v="S00025"/>
    <s v="P2146"/>
    <s v="kvasquez"/>
    <x v="1"/>
    <x v="2"/>
    <x v="4"/>
    <d v="2025-05-04T00:00:00"/>
    <n v="51"/>
    <n v="0"/>
    <x v="0"/>
    <s v="Crashed"/>
    <x v="0"/>
    <n v="41"/>
    <s v="No"/>
    <n v="2025"/>
    <n v="5"/>
    <n v="5.3507983193277298"/>
    <n v="0"/>
  </r>
  <r>
    <s v="S00026"/>
    <s v="P3548"/>
    <s v="erica07"/>
    <x v="4"/>
    <x v="2"/>
    <x v="3"/>
    <d v="2025-03-25T00:00:00"/>
    <n v="96"/>
    <n v="0"/>
    <x v="0"/>
    <s v="Completed"/>
    <x v="1"/>
    <n v="17"/>
    <s v="No"/>
    <n v="2025"/>
    <n v="3"/>
    <n v="5.3620631578947355"/>
    <n v="1"/>
  </r>
  <r>
    <s v="S00027"/>
    <s v="P2609"/>
    <s v="owensoscar"/>
    <x v="4"/>
    <x v="1"/>
    <x v="3"/>
    <d v="2025-05-02T00:00:00"/>
    <n v="173"/>
    <n v="0"/>
    <x v="0"/>
    <s v="Completed"/>
    <x v="0"/>
    <n v="8"/>
    <s v="Yes"/>
    <n v="2025"/>
    <n v="5"/>
    <n v="5.373375527426159"/>
    <n v="1"/>
  </r>
  <r>
    <s v="S00028"/>
    <s v="P4851"/>
    <s v="wlawson"/>
    <x v="2"/>
    <x v="1"/>
    <x v="3"/>
    <d v="2025-02-04T00:00:00"/>
    <n v="105"/>
    <n v="0"/>
    <x v="0"/>
    <s v="Completed"/>
    <x v="0"/>
    <n v="11"/>
    <s v="No"/>
    <n v="2025"/>
    <n v="2"/>
    <n v="5.3847357293868914"/>
    <n v="1"/>
  </r>
  <r>
    <s v="S00029"/>
    <s v="P5046"/>
    <s v="kevinruiz"/>
    <x v="3"/>
    <x v="0"/>
    <x v="3"/>
    <d v="2025-04-16T00:00:00"/>
    <n v="16"/>
    <n v="0"/>
    <x v="0"/>
    <s v="Completed"/>
    <x v="0"/>
    <n v="26"/>
    <s v="No"/>
    <n v="2025"/>
    <n v="4"/>
    <n v="5.3961440677966088"/>
    <n v="1"/>
  </r>
  <r>
    <s v="S00030"/>
    <s v="P4408"/>
    <s v="dlee"/>
    <x v="2"/>
    <x v="1"/>
    <x v="4"/>
    <d v="2025-06-10T00:00:00"/>
    <n v="135"/>
    <n v="0"/>
    <x v="0"/>
    <s v="Completed"/>
    <x v="0"/>
    <n v="12"/>
    <s v="No"/>
    <n v="2025"/>
    <n v="6"/>
    <n v="5.407600849256899"/>
    <n v="1"/>
  </r>
  <r>
    <s v="S00031"/>
    <s v="P3683"/>
    <s v="rebekah64"/>
    <x v="4"/>
    <x v="1"/>
    <x v="3"/>
    <d v="2025-02-06T00:00:00"/>
    <n v="96"/>
    <n v="0"/>
    <x v="0"/>
    <s v="Completed"/>
    <x v="0"/>
    <n v="43"/>
    <s v="No"/>
    <n v="2025"/>
    <n v="2"/>
    <n v="5.4191063829787227"/>
    <n v="1"/>
  </r>
  <r>
    <s v="S00032"/>
    <s v="P6285"/>
    <s v="katherinejohnston"/>
    <x v="2"/>
    <x v="2"/>
    <x v="3"/>
    <d v="2025-02-20T00:00:00"/>
    <n v="16"/>
    <n v="0"/>
    <x v="0"/>
    <s v="Completed"/>
    <x v="0"/>
    <n v="16"/>
    <s v="No"/>
    <n v="2025"/>
    <n v="2"/>
    <n v="5.4306609808102335"/>
    <n v="1"/>
  </r>
  <r>
    <s v="S00033"/>
    <s v="P4554"/>
    <s v="odavis"/>
    <x v="3"/>
    <x v="2"/>
    <x v="3"/>
    <d v="2025-02-08T00:00:00"/>
    <n v="165"/>
    <n v="0"/>
    <x v="0"/>
    <s v="Completed"/>
    <x v="0"/>
    <n v="23"/>
    <s v="Yes"/>
    <n v="2025"/>
    <n v="2"/>
    <n v="5.442264957264956"/>
    <n v="1"/>
  </r>
  <r>
    <s v="S00034"/>
    <s v="P6724"/>
    <s v="tylermiller"/>
    <x v="2"/>
    <x v="2"/>
    <x v="4"/>
    <d v="2025-05-20T00:00:00"/>
    <n v="25"/>
    <n v="0"/>
    <x v="0"/>
    <s v="Crashed"/>
    <x v="0"/>
    <n v="26"/>
    <s v="No"/>
    <n v="2025"/>
    <n v="5"/>
    <n v="5.4539186295503201"/>
    <n v="0"/>
  </r>
  <r>
    <s v="S00035"/>
    <s v="P2965"/>
    <s v="sonya77"/>
    <x v="2"/>
    <x v="2"/>
    <x v="4"/>
    <d v="2025-03-13T00:00:00"/>
    <n v="140"/>
    <n v="0"/>
    <x v="0"/>
    <s v="Completed"/>
    <x v="0"/>
    <n v="26"/>
    <s v="No"/>
    <n v="2025"/>
    <n v="3"/>
    <n v="5.4656223175965657"/>
    <n v="1"/>
  </r>
  <r>
    <s v="S00036"/>
    <s v="P4961"/>
    <s v="sandyherman"/>
    <x v="4"/>
    <x v="1"/>
    <x v="1"/>
    <d v="2025-04-03T00:00:00"/>
    <n v="86"/>
    <n v="0"/>
    <x v="0"/>
    <s v="Completed"/>
    <x v="0"/>
    <n v="47"/>
    <s v="No"/>
    <n v="2025"/>
    <n v="4"/>
    <n v="5.4773763440860206"/>
    <n v="1"/>
  </r>
  <r>
    <s v="S00037"/>
    <s v="P2861"/>
    <s v="leahlee"/>
    <x v="3"/>
    <x v="2"/>
    <x v="2"/>
    <d v="2025-03-05T00:00:00"/>
    <n v="149"/>
    <n v="0"/>
    <x v="0"/>
    <s v="Completed"/>
    <x v="0"/>
    <n v="48"/>
    <s v="No"/>
    <n v="2025"/>
    <n v="3"/>
    <n v="5.4891810344827574"/>
    <n v="1"/>
  </r>
  <r>
    <s v="S00038"/>
    <s v="P7945"/>
    <s v="richardhooper"/>
    <x v="0"/>
    <x v="0"/>
    <x v="1"/>
    <d v="2025-05-13T00:00:00"/>
    <n v="121"/>
    <n v="0"/>
    <x v="0"/>
    <s v="Completed"/>
    <x v="0"/>
    <n v="14"/>
    <s v="No"/>
    <n v="2025"/>
    <n v="5"/>
    <n v="5.5010367170626342"/>
    <n v="1"/>
  </r>
  <r>
    <s v="S00039"/>
    <s v="P3668"/>
    <s v="jenniferwilcox"/>
    <x v="2"/>
    <x v="1"/>
    <x v="1"/>
    <d v="2025-02-14T00:00:00"/>
    <n v="154"/>
    <n v="0"/>
    <x v="0"/>
    <s v="Completed"/>
    <x v="0"/>
    <n v="44"/>
    <s v="Yes"/>
    <n v="2025"/>
    <n v="2"/>
    <n v="5.5129437229437217"/>
    <n v="1"/>
  </r>
  <r>
    <s v="S00040"/>
    <s v="P3875"/>
    <s v="bruce09"/>
    <x v="2"/>
    <x v="2"/>
    <x v="3"/>
    <d v="2025-01-16T00:00:00"/>
    <n v="82"/>
    <n v="24.1"/>
    <x v="4"/>
    <s v="Completed"/>
    <x v="1"/>
    <n v="34"/>
    <s v="No"/>
    <n v="2025"/>
    <n v="1"/>
    <n v="5.5249023861171356"/>
    <n v="1"/>
  </r>
  <r>
    <s v="S00041"/>
    <s v="P2707"/>
    <s v="tpark"/>
    <x v="4"/>
    <x v="2"/>
    <x v="4"/>
    <d v="2024-12-16T00:00:00"/>
    <n v="49"/>
    <n v="0"/>
    <x v="0"/>
    <s v="Completed"/>
    <x v="0"/>
    <n v="9"/>
    <s v="No"/>
    <n v="2024"/>
    <n v="12"/>
    <n v="5.4845217391304351"/>
    <n v="1"/>
  </r>
  <r>
    <s v="S00042"/>
    <s v="P2683"/>
    <s v="csanchez"/>
    <x v="3"/>
    <x v="0"/>
    <x v="4"/>
    <d v="2025-05-06T00:00:00"/>
    <n v="35"/>
    <n v="0"/>
    <x v="0"/>
    <s v="Completed"/>
    <x v="1"/>
    <n v="33"/>
    <s v="No"/>
    <n v="2025"/>
    <n v="5"/>
    <n v="5.4964705882352947"/>
    <n v="1"/>
  </r>
  <r>
    <s v="S00043"/>
    <s v="P2171"/>
    <s v="nnguyen"/>
    <x v="0"/>
    <x v="2"/>
    <x v="5"/>
    <d v="2025-01-19T00:00:00"/>
    <n v="112"/>
    <n v="30.74"/>
    <x v="2"/>
    <s v="Completed"/>
    <x v="1"/>
    <n v="10"/>
    <s v="No"/>
    <n v="2025"/>
    <n v="1"/>
    <n v="5.5084716157205245"/>
    <n v="1"/>
  </r>
  <r>
    <s v="S00044"/>
    <s v="P5497"/>
    <s v="vmooney"/>
    <x v="0"/>
    <x v="0"/>
    <x v="5"/>
    <d v="2025-02-04T00:00:00"/>
    <n v="67"/>
    <n v="0"/>
    <x v="0"/>
    <s v="Exited Early"/>
    <x v="0"/>
    <n v="16"/>
    <s v="No"/>
    <n v="2025"/>
    <n v="2"/>
    <n v="5.4532603938730855"/>
    <n v="0"/>
  </r>
  <r>
    <s v="S00045"/>
    <s v="P7820"/>
    <s v="jennifer87"/>
    <x v="0"/>
    <x v="2"/>
    <x v="5"/>
    <d v="2025-01-19T00:00:00"/>
    <n v="15"/>
    <n v="0"/>
    <x v="0"/>
    <s v="Crashed"/>
    <x v="0"/>
    <n v="38"/>
    <s v="No"/>
    <n v="2025"/>
    <n v="1"/>
    <n v="5.4652192982456134"/>
    <n v="0"/>
  </r>
  <r>
    <s v="S00046"/>
    <s v="P5339"/>
    <s v="jcarter"/>
    <x v="2"/>
    <x v="0"/>
    <x v="4"/>
    <d v="2025-03-01T00:00:00"/>
    <n v="8"/>
    <n v="0"/>
    <x v="0"/>
    <s v="Completed"/>
    <x v="0"/>
    <n v="33"/>
    <s v="No"/>
    <n v="2025"/>
    <n v="3"/>
    <n v="5.4772307692307693"/>
    <n v="1"/>
  </r>
  <r>
    <s v="S00047"/>
    <s v="P2125"/>
    <s v="jlane"/>
    <x v="3"/>
    <x v="1"/>
    <x v="5"/>
    <d v="2024-12-17T00:00:00"/>
    <n v="27"/>
    <n v="0"/>
    <x v="0"/>
    <s v="Completed"/>
    <x v="0"/>
    <n v="19"/>
    <s v="No"/>
    <n v="2024"/>
    <n v="12"/>
    <n v="5.4892951541850215"/>
    <n v="1"/>
  </r>
  <r>
    <s v="S00048"/>
    <s v="P1178"/>
    <s v="nathan33"/>
    <x v="0"/>
    <x v="0"/>
    <x v="2"/>
    <d v="2025-02-04T00:00:00"/>
    <n v="115"/>
    <n v="22.35"/>
    <x v="2"/>
    <s v="Completed"/>
    <x v="1"/>
    <n v="43"/>
    <s v="No"/>
    <n v="2025"/>
    <n v="2"/>
    <n v="5.5014128035320082"/>
    <n v="1"/>
  </r>
  <r>
    <s v="S00049"/>
    <s v="P2502"/>
    <s v="owensjoseph"/>
    <x v="1"/>
    <x v="1"/>
    <x v="1"/>
    <d v="2025-02-27T00:00:00"/>
    <n v="27"/>
    <n v="0"/>
    <x v="0"/>
    <s v="Completed"/>
    <x v="0"/>
    <n v="39"/>
    <s v="No"/>
    <n v="2025"/>
    <n v="2"/>
    <n v="5.4641371681415922"/>
    <n v="1"/>
  </r>
  <r>
    <s v="S00050"/>
    <s v="P5155"/>
    <s v="griffinsarah"/>
    <x v="2"/>
    <x v="1"/>
    <x v="1"/>
    <d v="2025-01-01T00:00:00"/>
    <n v="82"/>
    <n v="0"/>
    <x v="0"/>
    <s v="Incomplete"/>
    <x v="0"/>
    <n v="26"/>
    <s v="No"/>
    <n v="2025"/>
    <n v="1"/>
    <n v="5.4762527716186238"/>
    <n v="0"/>
  </r>
  <r>
    <s v="S00051"/>
    <s v="P3174"/>
    <s v="petersonlacey"/>
    <x v="0"/>
    <x v="0"/>
    <x v="4"/>
    <d v="2025-05-04T00:00:00"/>
    <n v="42"/>
    <n v="0"/>
    <x v="0"/>
    <s v="Completed"/>
    <x v="0"/>
    <n v="18"/>
    <s v="No"/>
    <n v="2025"/>
    <n v="5"/>
    <n v="5.488422222222221"/>
    <n v="1"/>
  </r>
  <r>
    <s v="S00052"/>
    <s v="P8266"/>
    <s v="cynthiapoole"/>
    <x v="1"/>
    <x v="2"/>
    <x v="0"/>
    <d v="2024-12-19T00:00:00"/>
    <n v="108"/>
    <n v="0"/>
    <x v="0"/>
    <s v="Completed"/>
    <x v="0"/>
    <n v="35"/>
    <s v="No"/>
    <n v="2024"/>
    <n v="12"/>
    <n v="5.5006458797327387"/>
    <n v="1"/>
  </r>
  <r>
    <s v="S00053"/>
    <s v="P9579"/>
    <s v="richardsjessica"/>
    <x v="2"/>
    <x v="0"/>
    <x v="5"/>
    <d v="2025-04-11T00:00:00"/>
    <n v="38"/>
    <n v="0"/>
    <x v="0"/>
    <s v="Completed"/>
    <x v="0"/>
    <n v="34"/>
    <s v="No"/>
    <n v="2025"/>
    <n v="4"/>
    <n v="5.5129241071428563"/>
    <n v="1"/>
  </r>
  <r>
    <s v="S00054"/>
    <s v="P5714"/>
    <s v="fforbes"/>
    <x v="0"/>
    <x v="2"/>
    <x v="5"/>
    <d v="2025-03-11T00:00:00"/>
    <n v="136"/>
    <n v="0"/>
    <x v="0"/>
    <s v="Completed"/>
    <x v="0"/>
    <n v="11"/>
    <s v="No"/>
    <n v="2025"/>
    <n v="3"/>
    <n v="5.525257270693511"/>
    <n v="1"/>
  </r>
  <r>
    <s v="S00055"/>
    <s v="P4102"/>
    <s v="odonnelljennifer"/>
    <x v="0"/>
    <x v="1"/>
    <x v="1"/>
    <d v="2025-06-06T00:00:00"/>
    <n v="20"/>
    <n v="0"/>
    <x v="0"/>
    <s v="Incomplete"/>
    <x v="0"/>
    <n v="49"/>
    <s v="No"/>
    <n v="2025"/>
    <n v="6"/>
    <n v="5.5376457399103129"/>
    <n v="0"/>
  </r>
  <r>
    <s v="S00056"/>
    <s v="P1285"/>
    <s v="amylong"/>
    <x v="0"/>
    <x v="1"/>
    <x v="2"/>
    <d v="2025-05-11T00:00:00"/>
    <n v="117"/>
    <n v="0"/>
    <x v="0"/>
    <s v="Exited Early"/>
    <x v="0"/>
    <n v="11"/>
    <s v="No"/>
    <n v="2025"/>
    <n v="5"/>
    <n v="5.5500898876404481"/>
    <n v="0"/>
  </r>
  <r>
    <s v="S00057"/>
    <s v="P7588"/>
    <s v="usnyder"/>
    <x v="0"/>
    <x v="2"/>
    <x v="2"/>
    <d v="2025-05-04T00:00:00"/>
    <n v="139"/>
    <n v="0"/>
    <x v="0"/>
    <s v="Completed"/>
    <x v="0"/>
    <n v="41"/>
    <s v="No"/>
    <n v="2025"/>
    <n v="5"/>
    <n v="5.5625900900900893"/>
    <n v="1"/>
  </r>
  <r>
    <s v="S00058"/>
    <s v="P9514"/>
    <s v="dianaburgess"/>
    <x v="1"/>
    <x v="1"/>
    <x v="0"/>
    <d v="2025-04-09T00:00:00"/>
    <n v="19"/>
    <n v="44.21"/>
    <x v="3"/>
    <s v="Completed"/>
    <x v="1"/>
    <n v="24"/>
    <s v="Yes"/>
    <n v="2025"/>
    <n v="4"/>
    <n v="5.5751467268623012"/>
    <n v="1"/>
  </r>
  <r>
    <s v="S00059"/>
    <s v="P1110"/>
    <s v="joseph32"/>
    <x v="0"/>
    <x v="2"/>
    <x v="0"/>
    <d v="2025-04-24T00:00:00"/>
    <n v="76"/>
    <n v="0"/>
    <x v="0"/>
    <s v="Completed"/>
    <x v="0"/>
    <n v="41"/>
    <s v="No"/>
    <n v="2025"/>
    <n v="4"/>
    <n v="5.4877375565610862"/>
    <n v="1"/>
  </r>
  <r>
    <s v="S00060"/>
    <s v="P2205"/>
    <s v="fstewart"/>
    <x v="4"/>
    <x v="2"/>
    <x v="1"/>
    <d v="2025-04-20T00:00:00"/>
    <n v="153"/>
    <n v="0"/>
    <x v="0"/>
    <s v="Completed"/>
    <x v="0"/>
    <n v="2"/>
    <s v="Yes"/>
    <n v="2025"/>
    <n v="4"/>
    <n v="5.5001814058956917"/>
    <n v="1"/>
  </r>
  <r>
    <s v="S00061"/>
    <s v="P7473"/>
    <s v="sholmes"/>
    <x v="2"/>
    <x v="0"/>
    <x v="2"/>
    <d v="2025-05-27T00:00:00"/>
    <n v="156"/>
    <n v="0"/>
    <x v="0"/>
    <s v="Completed"/>
    <x v="1"/>
    <n v="50"/>
    <s v="Yes"/>
    <n v="2025"/>
    <n v="5"/>
    <n v="5.512681818181818"/>
    <n v="1"/>
  </r>
  <r>
    <s v="S00062"/>
    <s v="P1805"/>
    <s v="charlesjohnson"/>
    <x v="2"/>
    <x v="1"/>
    <x v="5"/>
    <d v="2025-03-23T00:00:00"/>
    <n v="153"/>
    <n v="0"/>
    <x v="0"/>
    <s v="Completed"/>
    <x v="1"/>
    <n v="44"/>
    <s v="Yes"/>
    <n v="2025"/>
    <n v="3"/>
    <n v="5.5252391799544416"/>
    <n v="1"/>
  </r>
  <r>
    <s v="S00063"/>
    <s v="P3641"/>
    <s v="davischristopher"/>
    <x v="1"/>
    <x v="0"/>
    <x v="5"/>
    <d v="2025-01-01T00:00:00"/>
    <n v="77"/>
    <n v="39.880000000000003"/>
    <x v="4"/>
    <s v="Completed"/>
    <x v="1"/>
    <n v="25"/>
    <s v="No"/>
    <n v="2025"/>
    <n v="1"/>
    <n v="5.5378538812785383"/>
    <n v="1"/>
  </r>
  <r>
    <s v="S00064"/>
    <s v="P6094"/>
    <s v="jenniferarnold"/>
    <x v="1"/>
    <x v="2"/>
    <x v="4"/>
    <d v="2025-06-10T00:00:00"/>
    <n v="81"/>
    <n v="10.1"/>
    <x v="2"/>
    <s v="Crashed"/>
    <x v="1"/>
    <n v="24"/>
    <s v="No"/>
    <n v="2025"/>
    <n v="6"/>
    <n v="5.4592677345537757"/>
    <n v="0"/>
  </r>
  <r>
    <s v="S00065"/>
    <s v="P5717"/>
    <s v="palmerashley"/>
    <x v="4"/>
    <x v="2"/>
    <x v="0"/>
    <d v="2025-02-25T00:00:00"/>
    <n v="7"/>
    <n v="0"/>
    <x v="0"/>
    <s v="Incomplete"/>
    <x v="0"/>
    <n v="32"/>
    <s v="No"/>
    <n v="2025"/>
    <n v="2"/>
    <n v="5.4486238532110089"/>
    <n v="0"/>
  </r>
  <r>
    <s v="S00066"/>
    <s v="P2499"/>
    <s v="mbowen"/>
    <x v="4"/>
    <x v="2"/>
    <x v="1"/>
    <d v="2025-06-06T00:00:00"/>
    <n v="152"/>
    <n v="0"/>
    <x v="0"/>
    <s v="Completed"/>
    <x v="0"/>
    <n v="21"/>
    <s v="Yes"/>
    <n v="2025"/>
    <n v="6"/>
    <n v="5.4611494252873563"/>
    <n v="1"/>
  </r>
  <r>
    <s v="S00067"/>
    <s v="P9667"/>
    <s v="harrisonsteven"/>
    <x v="2"/>
    <x v="2"/>
    <x v="5"/>
    <d v="2025-01-05T00:00:00"/>
    <n v="64"/>
    <n v="0"/>
    <x v="0"/>
    <s v="Exited Early"/>
    <x v="0"/>
    <n v="13"/>
    <s v="No"/>
    <n v="2025"/>
    <n v="1"/>
    <n v="5.4737327188940093"/>
    <n v="0"/>
  </r>
  <r>
    <s v="S00068"/>
    <s v="P9995"/>
    <s v="tinapreston"/>
    <x v="0"/>
    <x v="0"/>
    <x v="2"/>
    <d v="2025-06-03T00:00:00"/>
    <n v="165"/>
    <n v="0"/>
    <x v="0"/>
    <s v="Completed"/>
    <x v="0"/>
    <n v="41"/>
    <s v="Yes"/>
    <n v="2025"/>
    <n v="6"/>
    <n v="5.4863741339491918"/>
    <n v="1"/>
  </r>
  <r>
    <s v="S00069"/>
    <s v="P8527"/>
    <s v="claudiasilva"/>
    <x v="4"/>
    <x v="0"/>
    <x v="0"/>
    <d v="2025-01-17T00:00:00"/>
    <n v="165"/>
    <n v="0"/>
    <x v="0"/>
    <s v="Completed"/>
    <x v="0"/>
    <n v="15"/>
    <s v="Yes"/>
    <n v="2025"/>
    <n v="1"/>
    <n v="5.4990740740740742"/>
    <n v="1"/>
  </r>
  <r>
    <s v="S00070"/>
    <s v="P6322"/>
    <s v="noah21"/>
    <x v="3"/>
    <x v="2"/>
    <x v="5"/>
    <d v="2025-01-25T00:00:00"/>
    <n v="79"/>
    <n v="0"/>
    <x v="0"/>
    <s v="Exited Early"/>
    <x v="0"/>
    <n v="18"/>
    <s v="No"/>
    <n v="2025"/>
    <n v="1"/>
    <n v="5.5118329466357308"/>
    <n v="0"/>
  </r>
  <r>
    <s v="S00071"/>
    <s v="P8019"/>
    <s v="nwatkins"/>
    <x v="4"/>
    <x v="2"/>
    <x v="1"/>
    <d v="2025-06-12T00:00:00"/>
    <n v="81"/>
    <n v="0"/>
    <x v="0"/>
    <s v="Exited Early"/>
    <x v="0"/>
    <n v="37"/>
    <s v="No"/>
    <n v="2025"/>
    <n v="6"/>
    <n v="5.5246511627906978"/>
    <n v="0"/>
  </r>
  <r>
    <s v="S00072"/>
    <s v="P3539"/>
    <s v="martinderrick"/>
    <x v="1"/>
    <x v="0"/>
    <x v="4"/>
    <d v="2025-01-02T00:00:00"/>
    <n v="84"/>
    <n v="0"/>
    <x v="0"/>
    <s v="Completed"/>
    <x v="0"/>
    <n v="11"/>
    <s v="No"/>
    <n v="2025"/>
    <n v="1"/>
    <n v="5.5375291375291376"/>
    <n v="1"/>
  </r>
  <r>
    <s v="S00073"/>
    <s v="P8666"/>
    <s v="craiggail"/>
    <x v="2"/>
    <x v="1"/>
    <x v="2"/>
    <d v="2025-05-05T00:00:00"/>
    <n v="79"/>
    <n v="0"/>
    <x v="0"/>
    <s v="Completed"/>
    <x v="0"/>
    <n v="49"/>
    <s v="No"/>
    <n v="2025"/>
    <n v="5"/>
    <n v="5.5504672897196263"/>
    <n v="1"/>
  </r>
  <r>
    <s v="S00074"/>
    <s v="P8845"/>
    <s v="connerkevin"/>
    <x v="0"/>
    <x v="0"/>
    <x v="2"/>
    <d v="2025-01-08T00:00:00"/>
    <n v="147"/>
    <n v="0"/>
    <x v="0"/>
    <s v="Completed"/>
    <x v="0"/>
    <n v="14"/>
    <s v="No"/>
    <n v="2025"/>
    <n v="1"/>
    <n v="5.563466042154567"/>
    <n v="1"/>
  </r>
  <r>
    <s v="S00075"/>
    <s v="P3222"/>
    <s v="fmayer"/>
    <x v="4"/>
    <x v="0"/>
    <x v="5"/>
    <d v="2025-04-03T00:00:00"/>
    <n v="70"/>
    <n v="0"/>
    <x v="0"/>
    <s v="Completed"/>
    <x v="0"/>
    <n v="12"/>
    <s v="No"/>
    <n v="2025"/>
    <n v="4"/>
    <n v="5.5765258215962437"/>
    <n v="1"/>
  </r>
  <r>
    <s v="S00076"/>
    <s v="P1269"/>
    <s v="bryantdawn"/>
    <x v="2"/>
    <x v="2"/>
    <x v="0"/>
    <d v="2025-06-09T00:00:00"/>
    <n v="33"/>
    <n v="16.41"/>
    <x v="1"/>
    <s v="Incomplete"/>
    <x v="1"/>
    <n v="30"/>
    <s v="No"/>
    <n v="2025"/>
    <n v="6"/>
    <n v="5.5896470588235294"/>
    <n v="0"/>
  </r>
  <r>
    <s v="S00077"/>
    <s v="P6534"/>
    <s v="lindsay74"/>
    <x v="2"/>
    <x v="2"/>
    <x v="5"/>
    <d v="2025-02-04T00:00:00"/>
    <n v="128"/>
    <n v="0"/>
    <x v="0"/>
    <s v="Incomplete"/>
    <x v="0"/>
    <n v="40"/>
    <s v="No"/>
    <n v="2025"/>
    <n v="2"/>
    <n v="5.5641273584905644"/>
    <n v="0"/>
  </r>
  <r>
    <s v="S00078"/>
    <s v="P1662"/>
    <s v="ehill"/>
    <x v="2"/>
    <x v="0"/>
    <x v="1"/>
    <d v="2025-06-07T00:00:00"/>
    <n v="28"/>
    <n v="0"/>
    <x v="0"/>
    <s v="Completed"/>
    <x v="0"/>
    <n v="4"/>
    <s v="No"/>
    <n v="2025"/>
    <n v="6"/>
    <n v="5.5772813238770667"/>
    <n v="1"/>
  </r>
  <r>
    <s v="S00079"/>
    <s v="P9765"/>
    <s v="hannah41"/>
    <x v="2"/>
    <x v="2"/>
    <x v="2"/>
    <d v="2025-03-27T00:00:00"/>
    <n v="112"/>
    <n v="0"/>
    <x v="0"/>
    <s v="Completed"/>
    <x v="0"/>
    <n v="21"/>
    <s v="No"/>
    <n v="2025"/>
    <n v="3"/>
    <n v="5.5904976303317513"/>
    <n v="1"/>
  </r>
  <r>
    <s v="S00080"/>
    <s v="P2463"/>
    <s v="bentonashley"/>
    <x v="2"/>
    <x v="1"/>
    <x v="4"/>
    <d v="2025-05-02T00:00:00"/>
    <n v="175"/>
    <n v="27.19"/>
    <x v="4"/>
    <s v="Completed"/>
    <x v="1"/>
    <n v="1"/>
    <s v="Yes"/>
    <n v="2025"/>
    <n v="5"/>
    <n v="5.6037767220902595"/>
    <n v="1"/>
  </r>
  <r>
    <s v="S00081"/>
    <s v="P3235"/>
    <s v="kellyhill"/>
    <x v="3"/>
    <x v="2"/>
    <x v="1"/>
    <d v="2025-06-01T00:00:00"/>
    <n v="60"/>
    <n v="0"/>
    <x v="0"/>
    <s v="Completed"/>
    <x v="0"/>
    <n v="44"/>
    <s v="No"/>
    <n v="2025"/>
    <n v="6"/>
    <n v="5.5523809523809504"/>
    <n v="1"/>
  </r>
  <r>
    <s v="S00082"/>
    <s v="P7193"/>
    <s v="tlloyd"/>
    <x v="1"/>
    <x v="2"/>
    <x v="4"/>
    <d v="2025-03-23T00:00:00"/>
    <n v="144"/>
    <n v="0"/>
    <x v="0"/>
    <s v="Completed"/>
    <x v="0"/>
    <n v="35"/>
    <s v="No"/>
    <n v="2025"/>
    <n v="3"/>
    <n v="5.5656324582338881"/>
    <n v="1"/>
  </r>
  <r>
    <s v="S00083"/>
    <s v="P1366"/>
    <s v="robinatkinson"/>
    <x v="2"/>
    <x v="2"/>
    <x v="0"/>
    <d v="2025-05-01T00:00:00"/>
    <n v="47"/>
    <n v="0"/>
    <x v="0"/>
    <s v="Crashed"/>
    <x v="0"/>
    <n v="50"/>
    <s v="No"/>
    <n v="2025"/>
    <n v="5"/>
    <n v="5.5789473684210504"/>
    <n v="0"/>
  </r>
  <r>
    <s v="S00084"/>
    <s v="P3144"/>
    <s v="karen96"/>
    <x v="3"/>
    <x v="1"/>
    <x v="4"/>
    <d v="2025-01-20T00:00:00"/>
    <n v="53"/>
    <n v="0"/>
    <x v="0"/>
    <s v="Completed"/>
    <x v="0"/>
    <n v="4"/>
    <s v="No"/>
    <n v="2025"/>
    <n v="1"/>
    <n v="5.5923261390887271"/>
    <n v="1"/>
  </r>
  <r>
    <s v="S00085"/>
    <s v="P2977"/>
    <s v="mark79"/>
    <x v="4"/>
    <x v="0"/>
    <x v="0"/>
    <d v="2025-04-09T00:00:00"/>
    <n v="43"/>
    <n v="0"/>
    <x v="0"/>
    <s v="Completed"/>
    <x v="0"/>
    <n v="20"/>
    <s v="No"/>
    <n v="2025"/>
    <n v="4"/>
    <n v="5.6057692307692282"/>
    <n v="1"/>
  </r>
  <r>
    <s v="S00086"/>
    <s v="P8703"/>
    <s v="wayne88"/>
    <x v="0"/>
    <x v="2"/>
    <x v="4"/>
    <d v="2025-02-01T00:00:00"/>
    <n v="11"/>
    <n v="0"/>
    <x v="0"/>
    <s v="Crashed"/>
    <x v="0"/>
    <n v="18"/>
    <s v="No"/>
    <n v="2025"/>
    <n v="2"/>
    <n v="5.6192771084337325"/>
    <n v="0"/>
  </r>
  <r>
    <s v="S00087"/>
    <s v="P9792"/>
    <s v="jack75"/>
    <x v="0"/>
    <x v="0"/>
    <x v="4"/>
    <d v="2025-03-03T00:00:00"/>
    <n v="100"/>
    <n v="0"/>
    <x v="0"/>
    <s v="Completed"/>
    <x v="0"/>
    <n v="50"/>
    <s v="No"/>
    <n v="2025"/>
    <n v="3"/>
    <n v="5.6328502415458912"/>
    <n v="1"/>
  </r>
  <r>
    <s v="S00088"/>
    <s v="P5000"/>
    <s v="shenderson"/>
    <x v="2"/>
    <x v="2"/>
    <x v="2"/>
    <d v="2025-02-27T00:00:00"/>
    <n v="54"/>
    <n v="35.79"/>
    <x v="4"/>
    <s v="Completed"/>
    <x v="1"/>
    <n v="42"/>
    <s v="No"/>
    <n v="2025"/>
    <n v="2"/>
    <n v="5.6464891041162204"/>
    <n v="1"/>
  </r>
  <r>
    <s v="S00089"/>
    <s v="P5536"/>
    <s v="manderson"/>
    <x v="1"/>
    <x v="1"/>
    <x v="0"/>
    <d v="2024-12-25T00:00:00"/>
    <n v="92"/>
    <n v="0"/>
    <x v="0"/>
    <s v="Incomplete"/>
    <x v="0"/>
    <n v="21"/>
    <s v="No"/>
    <n v="2024"/>
    <n v="12"/>
    <n v="5.5733252427184441"/>
    <n v="0"/>
  </r>
  <r>
    <s v="S00090"/>
    <s v="P3420"/>
    <s v="boylejeffrey"/>
    <x v="4"/>
    <x v="1"/>
    <x v="3"/>
    <d v="2025-01-04T00:00:00"/>
    <n v="115"/>
    <n v="0"/>
    <x v="0"/>
    <s v="Completed"/>
    <x v="0"/>
    <n v="17"/>
    <s v="No"/>
    <n v="2025"/>
    <n v="1"/>
    <n v="5.586885644768854"/>
    <n v="1"/>
  </r>
  <r>
    <s v="S00091"/>
    <s v="P6128"/>
    <s v="justinvargas"/>
    <x v="3"/>
    <x v="0"/>
    <x v="5"/>
    <d v="2025-06-01T00:00:00"/>
    <n v="76"/>
    <n v="0"/>
    <x v="0"/>
    <s v="Completed"/>
    <x v="0"/>
    <n v="44"/>
    <s v="No"/>
    <n v="2025"/>
    <n v="6"/>
    <n v="5.600512195121949"/>
    <n v="1"/>
  </r>
  <r>
    <s v="S00092"/>
    <s v="P2205"/>
    <s v="smullins"/>
    <x v="0"/>
    <x v="0"/>
    <x v="4"/>
    <d v="2025-04-23T00:00:00"/>
    <n v="81"/>
    <n v="0"/>
    <x v="0"/>
    <s v="Crashed"/>
    <x v="0"/>
    <n v="46"/>
    <s v="No"/>
    <n v="2025"/>
    <n v="4"/>
    <n v="5.6142053789731028"/>
    <n v="0"/>
  </r>
  <r>
    <s v="S00093"/>
    <s v="P5817"/>
    <s v="cynthiasimmons"/>
    <x v="0"/>
    <x v="1"/>
    <x v="2"/>
    <d v="2024-12-20T00:00:00"/>
    <n v="154"/>
    <n v="0"/>
    <x v="0"/>
    <s v="Completed"/>
    <x v="0"/>
    <n v="11"/>
    <s v="Yes"/>
    <n v="2024"/>
    <n v="12"/>
    <n v="5.627965686274508"/>
    <n v="1"/>
  </r>
  <r>
    <s v="S00094"/>
    <s v="P6677"/>
    <s v="qwatson"/>
    <x v="2"/>
    <x v="0"/>
    <x v="3"/>
    <d v="2025-03-15T00:00:00"/>
    <n v="143"/>
    <n v="0"/>
    <x v="0"/>
    <s v="Exited Early"/>
    <x v="0"/>
    <n v="10"/>
    <s v="No"/>
    <n v="2025"/>
    <n v="3"/>
    <n v="5.6417936117936094"/>
    <n v="0"/>
  </r>
  <r>
    <s v="S00095"/>
    <s v="P5248"/>
    <s v="xreed"/>
    <x v="3"/>
    <x v="2"/>
    <x v="4"/>
    <d v="2025-05-02T00:00:00"/>
    <n v="123"/>
    <n v="26.85"/>
    <x v="3"/>
    <s v="Crashed"/>
    <x v="1"/>
    <n v="32"/>
    <s v="No"/>
    <n v="2025"/>
    <n v="5"/>
    <n v="5.6556896551724121"/>
    <n v="0"/>
  </r>
  <r>
    <s v="S00096"/>
    <s v="P7669"/>
    <s v="melanie00"/>
    <x v="2"/>
    <x v="0"/>
    <x v="1"/>
    <d v="2025-02-24T00:00:00"/>
    <n v="158"/>
    <n v="0"/>
    <x v="0"/>
    <s v="Completed"/>
    <x v="1"/>
    <n v="17"/>
    <s v="Yes"/>
    <n v="2025"/>
    <n v="2"/>
    <n v="5.6033580246913557"/>
    <n v="1"/>
  </r>
  <r>
    <s v="S00097"/>
    <s v="P1126"/>
    <s v="richardward"/>
    <x v="1"/>
    <x v="2"/>
    <x v="5"/>
    <d v="2025-02-22T00:00:00"/>
    <n v="122"/>
    <n v="0"/>
    <x v="0"/>
    <s v="Completed"/>
    <x v="0"/>
    <n v="9"/>
    <s v="No"/>
    <n v="2025"/>
    <n v="2"/>
    <n v="5.6172277227722756"/>
    <n v="1"/>
  </r>
  <r>
    <s v="S00098"/>
    <s v="P8252"/>
    <s v="riggsbarbara"/>
    <x v="2"/>
    <x v="0"/>
    <x v="3"/>
    <d v="2024-12-20T00:00:00"/>
    <n v="164"/>
    <n v="0"/>
    <x v="0"/>
    <s v="Completed"/>
    <x v="1"/>
    <n v="19"/>
    <s v="Yes"/>
    <n v="2024"/>
    <n v="12"/>
    <n v="5.6311662531017355"/>
    <n v="1"/>
  </r>
  <r>
    <s v="S00099"/>
    <s v="P9800"/>
    <s v="sroach"/>
    <x v="4"/>
    <x v="0"/>
    <x v="0"/>
    <d v="2025-03-22T00:00:00"/>
    <n v="173"/>
    <n v="0"/>
    <x v="0"/>
    <s v="Completed"/>
    <x v="0"/>
    <n v="37"/>
    <s v="Yes"/>
    <n v="2025"/>
    <n v="3"/>
    <n v="5.645174129353232"/>
    <n v="1"/>
  </r>
  <r>
    <s v="S00100"/>
    <s v="P5367"/>
    <s v="jeffreyluna"/>
    <x v="4"/>
    <x v="0"/>
    <x v="0"/>
    <d v="2025-05-10T00:00:00"/>
    <n v="107"/>
    <n v="0"/>
    <x v="0"/>
    <s v="Incomplete"/>
    <x v="0"/>
    <n v="13"/>
    <s v="No"/>
    <n v="2025"/>
    <n v="5"/>
    <n v="5.6592518703241872"/>
    <n v="0"/>
  </r>
  <r>
    <s v="S00101"/>
    <s v="P6401"/>
    <s v="chavezmelissa"/>
    <x v="0"/>
    <x v="1"/>
    <x v="2"/>
    <d v="2025-04-03T00:00:00"/>
    <n v="34"/>
    <n v="15.26"/>
    <x v="4"/>
    <s v="Completed"/>
    <x v="1"/>
    <n v="11"/>
    <s v="No"/>
    <n v="2025"/>
    <n v="4"/>
    <n v="5.6733999999999982"/>
    <n v="1"/>
  </r>
  <r>
    <s v="S00102"/>
    <s v="P1736"/>
    <s v="qserrano"/>
    <x v="1"/>
    <x v="1"/>
    <x v="0"/>
    <d v="2025-01-20T00:00:00"/>
    <n v="180"/>
    <n v="0"/>
    <x v="0"/>
    <s v="Completed"/>
    <x v="0"/>
    <n v="28"/>
    <s v="Yes"/>
    <n v="2025"/>
    <n v="1"/>
    <n v="5.6493734335839587"/>
    <n v="1"/>
  </r>
  <r>
    <s v="S00103"/>
    <s v="P5013"/>
    <s v="angelabutler"/>
    <x v="4"/>
    <x v="1"/>
    <x v="3"/>
    <d v="2025-01-11T00:00:00"/>
    <n v="41"/>
    <n v="0"/>
    <x v="0"/>
    <s v="Exited Early"/>
    <x v="0"/>
    <n v="47"/>
    <s v="No"/>
    <n v="2025"/>
    <n v="1"/>
    <n v="5.6635678391959789"/>
    <n v="0"/>
  </r>
  <r>
    <s v="S00104"/>
    <s v="P9492"/>
    <s v="ggriffith"/>
    <x v="4"/>
    <x v="0"/>
    <x v="5"/>
    <d v="2025-05-18T00:00:00"/>
    <n v="90"/>
    <n v="0"/>
    <x v="0"/>
    <s v="Completed"/>
    <x v="0"/>
    <n v="3"/>
    <s v="No"/>
    <n v="2025"/>
    <n v="5"/>
    <n v="5.6778337531486134"/>
    <n v="1"/>
  </r>
  <r>
    <s v="S00105"/>
    <s v="P2590"/>
    <s v="chrisperkins"/>
    <x v="3"/>
    <x v="0"/>
    <x v="1"/>
    <d v="2025-05-22T00:00:00"/>
    <n v="64"/>
    <n v="0"/>
    <x v="0"/>
    <s v="Completed"/>
    <x v="0"/>
    <n v="50"/>
    <s v="No"/>
    <n v="2025"/>
    <n v="5"/>
    <n v="5.6921717171717159"/>
    <n v="1"/>
  </r>
  <r>
    <s v="S00106"/>
    <s v="P8823"/>
    <s v="blakewallace"/>
    <x v="0"/>
    <x v="1"/>
    <x v="1"/>
    <d v="2025-01-28T00:00:00"/>
    <n v="101"/>
    <n v="0"/>
    <x v="0"/>
    <s v="Completed"/>
    <x v="0"/>
    <n v="6"/>
    <s v="No"/>
    <n v="2025"/>
    <n v="1"/>
    <n v="5.7065822784810116"/>
    <n v="1"/>
  </r>
  <r>
    <s v="S00107"/>
    <s v="P1933"/>
    <s v="ismith"/>
    <x v="0"/>
    <x v="2"/>
    <x v="2"/>
    <d v="2025-04-15T00:00:00"/>
    <n v="21"/>
    <n v="36.340000000000003"/>
    <x v="2"/>
    <s v="Completed"/>
    <x v="1"/>
    <n v="24"/>
    <s v="No"/>
    <n v="2025"/>
    <n v="4"/>
    <n v="5.7210659898477143"/>
    <n v="1"/>
  </r>
  <r>
    <s v="S00108"/>
    <s v="P4776"/>
    <s v="amydunn"/>
    <x v="4"/>
    <x v="0"/>
    <x v="5"/>
    <d v="2025-03-31T00:00:00"/>
    <n v="153"/>
    <n v="0"/>
    <x v="0"/>
    <s v="Crashed"/>
    <x v="0"/>
    <n v="25"/>
    <s v="Yes"/>
    <n v="2025"/>
    <n v="3"/>
    <n v="5.6431552162849856"/>
    <n v="0"/>
  </r>
  <r>
    <s v="S00109"/>
    <s v="P2082"/>
    <s v="awise"/>
    <x v="4"/>
    <x v="2"/>
    <x v="3"/>
    <d v="2025-06-11T00:00:00"/>
    <n v="153"/>
    <n v="0"/>
    <x v="0"/>
    <s v="Completed"/>
    <x v="0"/>
    <n v="48"/>
    <s v="Yes"/>
    <n v="2025"/>
    <n v="6"/>
    <n v="5.6575510204081612"/>
    <n v="1"/>
  </r>
  <r>
    <s v="S00110"/>
    <s v="P9730"/>
    <s v="jennifer33"/>
    <x v="0"/>
    <x v="2"/>
    <x v="2"/>
    <d v="2025-05-21T00:00:00"/>
    <n v="164"/>
    <n v="0"/>
    <x v="0"/>
    <s v="Crashed"/>
    <x v="1"/>
    <n v="39"/>
    <s v="Yes"/>
    <n v="2025"/>
    <n v="5"/>
    <n v="5.6720204603580546"/>
    <n v="0"/>
  </r>
  <r>
    <s v="S00111"/>
    <s v="P1583"/>
    <s v="heatherpayne"/>
    <x v="0"/>
    <x v="2"/>
    <x v="1"/>
    <d v="2024-12-30T00:00:00"/>
    <n v="165"/>
    <n v="0"/>
    <x v="0"/>
    <s v="Crashed"/>
    <x v="0"/>
    <n v="48"/>
    <s v="Yes"/>
    <n v="2024"/>
    <n v="12"/>
    <n v="5.6865641025641009"/>
    <n v="0"/>
  </r>
  <r>
    <s v="S00112"/>
    <s v="P3011"/>
    <s v="keithmaddox"/>
    <x v="0"/>
    <x v="1"/>
    <x v="1"/>
    <d v="2025-05-25T00:00:00"/>
    <n v="172"/>
    <n v="0"/>
    <x v="0"/>
    <s v="Completed"/>
    <x v="0"/>
    <n v="50"/>
    <s v="Yes"/>
    <n v="2025"/>
    <n v="5"/>
    <n v="5.7011825192802039"/>
    <n v="1"/>
  </r>
  <r>
    <s v="S00113"/>
    <s v="P7599"/>
    <s v="fuentesmelanie"/>
    <x v="0"/>
    <x v="2"/>
    <x v="2"/>
    <d v="2025-02-27T00:00:00"/>
    <n v="33"/>
    <n v="0"/>
    <x v="0"/>
    <s v="Completed"/>
    <x v="0"/>
    <n v="46"/>
    <s v="No"/>
    <n v="2025"/>
    <n v="2"/>
    <n v="5.7158762886597918"/>
    <n v="1"/>
  </r>
  <r>
    <s v="S00114"/>
    <s v="P2615"/>
    <s v="melissa89"/>
    <x v="1"/>
    <x v="1"/>
    <x v="1"/>
    <d v="2024-12-18T00:00:00"/>
    <n v="89"/>
    <n v="30.92"/>
    <x v="1"/>
    <s v="Completed"/>
    <x v="1"/>
    <n v="48"/>
    <s v="No"/>
    <n v="2024"/>
    <n v="12"/>
    <n v="5.7306459948320398"/>
    <n v="1"/>
  </r>
  <r>
    <s v="S00115"/>
    <s v="P5890"/>
    <s v="jill75"/>
    <x v="1"/>
    <x v="1"/>
    <x v="4"/>
    <d v="2025-02-15T00:00:00"/>
    <n v="22"/>
    <n v="28.43"/>
    <x v="3"/>
    <s v="Crashed"/>
    <x v="1"/>
    <n v="36"/>
    <s v="No"/>
    <n v="2025"/>
    <n v="2"/>
    <n v="5.6653886010362671"/>
    <n v="0"/>
  </r>
  <r>
    <s v="S00116"/>
    <s v="P7715"/>
    <s v="vhart"/>
    <x v="1"/>
    <x v="0"/>
    <x v="3"/>
    <d v="2025-04-02T00:00:00"/>
    <n v="65"/>
    <n v="0"/>
    <x v="0"/>
    <s v="Completed"/>
    <x v="0"/>
    <n v="8"/>
    <s v="No"/>
    <n v="2025"/>
    <n v="4"/>
    <n v="5.6062597402597376"/>
    <n v="1"/>
  </r>
  <r>
    <s v="S00117"/>
    <s v="P4728"/>
    <s v="marilynharrison"/>
    <x v="0"/>
    <x v="2"/>
    <x v="4"/>
    <d v="2025-02-19T00:00:00"/>
    <n v="22"/>
    <n v="0"/>
    <x v="0"/>
    <s v="Completed"/>
    <x v="0"/>
    <n v="7"/>
    <s v="No"/>
    <n v="2025"/>
    <n v="2"/>
    <n v="5.6208593749999975"/>
    <n v="1"/>
  </r>
  <r>
    <s v="S00118"/>
    <s v="P8621"/>
    <s v="davisamy"/>
    <x v="4"/>
    <x v="1"/>
    <x v="3"/>
    <d v="2025-05-14T00:00:00"/>
    <n v="98"/>
    <n v="0"/>
    <x v="0"/>
    <s v="Crashed"/>
    <x v="0"/>
    <n v="7"/>
    <s v="No"/>
    <n v="2025"/>
    <n v="5"/>
    <n v="5.6355352480417729"/>
    <n v="0"/>
  </r>
  <r>
    <s v="S00119"/>
    <s v="P4118"/>
    <s v="dorseyemily"/>
    <x v="0"/>
    <x v="0"/>
    <x v="2"/>
    <d v="2025-05-04T00:00:00"/>
    <n v="63"/>
    <n v="0"/>
    <x v="0"/>
    <s v="Completed"/>
    <x v="0"/>
    <n v="13"/>
    <s v="No"/>
    <n v="2025"/>
    <n v="5"/>
    <n v="5.6502879581151806"/>
    <n v="1"/>
  </r>
  <r>
    <s v="S00120"/>
    <s v="P1199"/>
    <s v="garymeyers"/>
    <x v="3"/>
    <x v="2"/>
    <x v="2"/>
    <d v="2025-03-10T00:00:00"/>
    <n v="45"/>
    <n v="31.67"/>
    <x v="2"/>
    <s v="Completed"/>
    <x v="1"/>
    <n v="45"/>
    <s v="No"/>
    <n v="2025"/>
    <n v="3"/>
    <n v="5.665118110236218"/>
    <n v="1"/>
  </r>
  <r>
    <s v="S00121"/>
    <s v="P7130"/>
    <s v="elee"/>
    <x v="3"/>
    <x v="0"/>
    <x v="2"/>
    <d v="2025-01-31T00:00:00"/>
    <n v="142"/>
    <n v="0"/>
    <x v="0"/>
    <s v="Completed"/>
    <x v="0"/>
    <n v="3"/>
    <s v="No"/>
    <n v="2025"/>
    <n v="1"/>
    <n v="5.5966842105263144"/>
    <n v="1"/>
  </r>
  <r>
    <s v="S00122"/>
    <s v="P1992"/>
    <s v="jennifer29"/>
    <x v="2"/>
    <x v="0"/>
    <x v="1"/>
    <d v="2025-06-09T00:00:00"/>
    <n v="56"/>
    <n v="4.07"/>
    <x v="2"/>
    <s v="Completed"/>
    <x v="1"/>
    <n v="45"/>
    <s v="No"/>
    <n v="2025"/>
    <n v="6"/>
    <n v="5.6114511873350903"/>
    <n v="1"/>
  </r>
  <r>
    <s v="S00123"/>
    <s v="P2064"/>
    <s v="davidkelley"/>
    <x v="1"/>
    <x v="1"/>
    <x v="4"/>
    <d v="2024-12-22T00:00:00"/>
    <n v="156"/>
    <n v="0"/>
    <x v="0"/>
    <s v="Completed"/>
    <x v="1"/>
    <n v="45"/>
    <s v="Yes"/>
    <n v="2024"/>
    <n v="12"/>
    <n v="5.6155291005290984"/>
    <n v="1"/>
  </r>
  <r>
    <s v="S00124"/>
    <s v="P9571"/>
    <s v="haroldsawyer"/>
    <x v="4"/>
    <x v="2"/>
    <x v="4"/>
    <d v="2025-01-10T00:00:00"/>
    <n v="123"/>
    <n v="0"/>
    <x v="0"/>
    <s v="Crashed"/>
    <x v="0"/>
    <n v="12"/>
    <s v="No"/>
    <n v="2025"/>
    <n v="1"/>
    <n v="5.6304244031830217"/>
    <n v="0"/>
  </r>
  <r>
    <s v="S00125"/>
    <s v="P9017"/>
    <s v="albertkelly"/>
    <x v="1"/>
    <x v="2"/>
    <x v="4"/>
    <d v="2025-06-11T00:00:00"/>
    <n v="172"/>
    <n v="0"/>
    <x v="0"/>
    <s v="Exited Early"/>
    <x v="0"/>
    <n v="21"/>
    <s v="Yes"/>
    <n v="2025"/>
    <n v="6"/>
    <n v="5.6453989361702108"/>
    <n v="0"/>
  </r>
  <r>
    <s v="S00126"/>
    <s v="P8062"/>
    <s v="chambersnicole"/>
    <x v="1"/>
    <x v="1"/>
    <x v="0"/>
    <d v="2025-01-29T00:00:00"/>
    <n v="46"/>
    <n v="14.47"/>
    <x v="1"/>
    <s v="Exited Early"/>
    <x v="1"/>
    <n v="30"/>
    <s v="No"/>
    <n v="2025"/>
    <n v="1"/>
    <n v="5.6604533333333311"/>
    <n v="0"/>
  </r>
  <r>
    <s v="S00127"/>
    <s v="P6411"/>
    <s v="jacobsonmichael"/>
    <x v="0"/>
    <x v="0"/>
    <x v="5"/>
    <d v="2025-01-04T00:00:00"/>
    <n v="153"/>
    <n v="0"/>
    <x v="0"/>
    <s v="Exited Early"/>
    <x v="0"/>
    <n v="15"/>
    <s v="Yes"/>
    <n v="2025"/>
    <n v="1"/>
    <n v="5.6368983957219232"/>
    <n v="0"/>
  </r>
  <r>
    <s v="S00128"/>
    <s v="P4959"/>
    <s v="robert48"/>
    <x v="0"/>
    <x v="1"/>
    <x v="3"/>
    <d v="2025-06-07T00:00:00"/>
    <n v="128"/>
    <n v="0"/>
    <x v="0"/>
    <s v="Crashed"/>
    <x v="0"/>
    <n v="32"/>
    <s v="No"/>
    <n v="2025"/>
    <n v="6"/>
    <n v="5.6520107238605881"/>
    <n v="0"/>
  </r>
  <r>
    <s v="S00129"/>
    <s v="P8564"/>
    <s v="wyattsanchez"/>
    <x v="1"/>
    <x v="2"/>
    <x v="4"/>
    <d v="2025-06-06T00:00:00"/>
    <n v="54"/>
    <n v="0"/>
    <x v="0"/>
    <s v="Completed"/>
    <x v="0"/>
    <n v="15"/>
    <s v="No"/>
    <n v="2025"/>
    <n v="6"/>
    <n v="5.6672043010752668"/>
    <n v="1"/>
  </r>
  <r>
    <s v="S00130"/>
    <s v="P9652"/>
    <s v="vedwards"/>
    <x v="1"/>
    <x v="1"/>
    <x v="0"/>
    <d v="2025-01-13T00:00:00"/>
    <n v="133"/>
    <n v="0"/>
    <x v="0"/>
    <s v="Completed"/>
    <x v="0"/>
    <n v="35"/>
    <s v="No"/>
    <n v="2025"/>
    <n v="1"/>
    <n v="5.6824797843665751"/>
    <n v="1"/>
  </r>
  <r>
    <s v="S00131"/>
    <s v="P6617"/>
    <s v="figueroadoris"/>
    <x v="3"/>
    <x v="1"/>
    <x v="4"/>
    <d v="2025-05-01T00:00:00"/>
    <n v="116"/>
    <n v="0"/>
    <x v="0"/>
    <s v="Crashed"/>
    <x v="0"/>
    <n v="30"/>
    <s v="No"/>
    <n v="2025"/>
    <n v="5"/>
    <n v="5.6978378378378363"/>
    <n v="0"/>
  </r>
  <r>
    <s v="S00132"/>
    <s v="P2180"/>
    <s v="briansteele"/>
    <x v="1"/>
    <x v="0"/>
    <x v="3"/>
    <d v="2024-12-18T00:00:00"/>
    <n v="95"/>
    <n v="0"/>
    <x v="0"/>
    <s v="Completed"/>
    <x v="0"/>
    <n v="20"/>
    <s v="No"/>
    <n v="2024"/>
    <n v="12"/>
    <n v="5.7132791327913264"/>
    <n v="1"/>
  </r>
  <r>
    <s v="S00133"/>
    <s v="P2956"/>
    <s v="huangdana"/>
    <x v="2"/>
    <x v="2"/>
    <x v="2"/>
    <d v="2024-12-22T00:00:00"/>
    <n v="107"/>
    <n v="0"/>
    <x v="0"/>
    <s v="Incomplete"/>
    <x v="0"/>
    <n v="7"/>
    <s v="No"/>
    <n v="2024"/>
    <n v="12"/>
    <n v="5.7288043478260855"/>
    <n v="0"/>
  </r>
  <r>
    <s v="S00134"/>
    <s v="P3200"/>
    <s v="robert23"/>
    <x v="2"/>
    <x v="2"/>
    <x v="2"/>
    <d v="2025-04-01T00:00:00"/>
    <n v="150"/>
    <n v="0"/>
    <x v="0"/>
    <s v="Completed"/>
    <x v="0"/>
    <n v="47"/>
    <s v="No"/>
    <n v="2025"/>
    <n v="4"/>
    <n v="5.744414168937328"/>
    <n v="1"/>
  </r>
  <r>
    <s v="S00135"/>
    <s v="P9368"/>
    <s v="thomasmonica"/>
    <x v="2"/>
    <x v="2"/>
    <x v="0"/>
    <d v="2025-01-01T00:00:00"/>
    <n v="175"/>
    <n v="0"/>
    <x v="0"/>
    <s v="Completed"/>
    <x v="0"/>
    <n v="49"/>
    <s v="Yes"/>
    <n v="2025"/>
    <n v="1"/>
    <n v="5.7601092896174846"/>
    <n v="1"/>
  </r>
  <r>
    <s v="S00136"/>
    <s v="P7857"/>
    <s v="griffithbilly"/>
    <x v="1"/>
    <x v="2"/>
    <x v="2"/>
    <d v="2025-01-22T00:00:00"/>
    <n v="26"/>
    <n v="23.57"/>
    <x v="3"/>
    <s v="Completed"/>
    <x v="1"/>
    <n v="10"/>
    <s v="No"/>
    <n v="2025"/>
    <n v="1"/>
    <n v="5.775890410958902"/>
    <n v="1"/>
  </r>
  <r>
    <s v="S00137"/>
    <s v="P4039"/>
    <s v="alanguerrero"/>
    <x v="2"/>
    <x v="2"/>
    <x v="1"/>
    <d v="2025-05-17T00:00:00"/>
    <n v="115"/>
    <n v="0"/>
    <x v="0"/>
    <s v="Crashed"/>
    <x v="0"/>
    <n v="42"/>
    <s v="No"/>
    <n v="2025"/>
    <n v="5"/>
    <n v="5.7270054945054936"/>
    <n v="0"/>
  </r>
  <r>
    <s v="S00138"/>
    <s v="P8823"/>
    <s v="timothy18"/>
    <x v="0"/>
    <x v="2"/>
    <x v="2"/>
    <d v="2025-04-27T00:00:00"/>
    <n v="72"/>
    <n v="0"/>
    <x v="0"/>
    <s v="Completed"/>
    <x v="1"/>
    <n v="6"/>
    <s v="No"/>
    <n v="2025"/>
    <n v="4"/>
    <n v="5.7427823691460045"/>
    <n v="1"/>
  </r>
  <r>
    <s v="S00139"/>
    <s v="P4544"/>
    <s v="martinrobert"/>
    <x v="3"/>
    <x v="0"/>
    <x v="5"/>
    <d v="2025-06-06T00:00:00"/>
    <n v="137"/>
    <n v="0"/>
    <x v="0"/>
    <s v="Incomplete"/>
    <x v="0"/>
    <n v="28"/>
    <s v="No"/>
    <n v="2025"/>
    <n v="6"/>
    <n v="5.7586464088397777"/>
    <n v="0"/>
  </r>
  <r>
    <s v="S00140"/>
    <s v="P4842"/>
    <s v="deckeramanda"/>
    <x v="2"/>
    <x v="0"/>
    <x v="5"/>
    <d v="2025-04-12T00:00:00"/>
    <n v="145"/>
    <n v="0"/>
    <x v="0"/>
    <s v="Completed"/>
    <x v="1"/>
    <n v="36"/>
    <s v="No"/>
    <n v="2025"/>
    <n v="4"/>
    <n v="5.7745983379501373"/>
    <n v="1"/>
  </r>
  <r>
    <s v="S00141"/>
    <s v="P2727"/>
    <s v="allison25"/>
    <x v="2"/>
    <x v="1"/>
    <x v="3"/>
    <d v="2025-03-25T00:00:00"/>
    <n v="46"/>
    <n v="0"/>
    <x v="0"/>
    <s v="Completed"/>
    <x v="0"/>
    <n v="17"/>
    <s v="No"/>
    <n v="2025"/>
    <n v="3"/>
    <n v="5.7906388888888882"/>
    <n v="1"/>
  </r>
  <r>
    <s v="S00142"/>
    <s v="P7235"/>
    <s v="reedchad"/>
    <x v="3"/>
    <x v="2"/>
    <x v="5"/>
    <d v="2025-01-28T00:00:00"/>
    <n v="106"/>
    <n v="0"/>
    <x v="0"/>
    <s v="Completed"/>
    <x v="0"/>
    <n v="15"/>
    <s v="No"/>
    <n v="2025"/>
    <n v="1"/>
    <n v="5.8067688022284116"/>
    <n v="1"/>
  </r>
  <r>
    <s v="S00143"/>
    <s v="P8203"/>
    <s v="kennedyjacob"/>
    <x v="0"/>
    <x v="1"/>
    <x v="3"/>
    <d v="2025-02-17T00:00:00"/>
    <n v="48"/>
    <n v="46.63"/>
    <x v="3"/>
    <s v="Completed"/>
    <x v="1"/>
    <n v="42"/>
    <s v="Yes"/>
    <n v="2025"/>
    <n v="2"/>
    <n v="5.8229888268156413"/>
    <n v="1"/>
  </r>
  <r>
    <s v="S00144"/>
    <s v="P2317"/>
    <s v="robertohobbs"/>
    <x v="1"/>
    <x v="0"/>
    <x v="5"/>
    <d v="2025-04-22T00:00:00"/>
    <n v="83"/>
    <n v="0"/>
    <x v="0"/>
    <s v="Completed"/>
    <x v="0"/>
    <n v="25"/>
    <s v="No"/>
    <n v="2025"/>
    <n v="4"/>
    <n v="5.7086834733893541"/>
    <n v="1"/>
  </r>
  <r>
    <s v="S00145"/>
    <s v="P1686"/>
    <s v="michellemurphy"/>
    <x v="3"/>
    <x v="0"/>
    <x v="1"/>
    <d v="2024-12-24T00:00:00"/>
    <n v="146"/>
    <n v="0"/>
    <x v="0"/>
    <s v="Completed"/>
    <x v="0"/>
    <n v="28"/>
    <s v="No"/>
    <n v="2024"/>
    <n v="12"/>
    <n v="5.7247191011235934"/>
    <n v="1"/>
  </r>
  <r>
    <s v="S00146"/>
    <s v="P3775"/>
    <s v="castillowilliam"/>
    <x v="3"/>
    <x v="0"/>
    <x v="2"/>
    <d v="2025-02-25T00:00:00"/>
    <n v="18"/>
    <n v="0"/>
    <x v="0"/>
    <s v="Completed"/>
    <x v="0"/>
    <n v="47"/>
    <s v="No"/>
    <n v="2025"/>
    <n v="2"/>
    <n v="5.7408450704225329"/>
    <n v="1"/>
  </r>
  <r>
    <s v="S00147"/>
    <s v="P2026"/>
    <s v="manuel15"/>
    <x v="2"/>
    <x v="2"/>
    <x v="2"/>
    <d v="2025-04-23T00:00:00"/>
    <n v="136"/>
    <n v="0"/>
    <x v="0"/>
    <s v="Completed"/>
    <x v="0"/>
    <n v="23"/>
    <s v="No"/>
    <n v="2025"/>
    <n v="4"/>
    <n v="5.7570621468926531"/>
    <n v="1"/>
  </r>
  <r>
    <s v="S00148"/>
    <s v="P6441"/>
    <s v="melissa77"/>
    <x v="4"/>
    <x v="0"/>
    <x v="0"/>
    <d v="2025-01-26T00:00:00"/>
    <n v="99"/>
    <n v="0"/>
    <x v="0"/>
    <s v="Completed"/>
    <x v="0"/>
    <n v="2"/>
    <s v="No"/>
    <n v="2025"/>
    <n v="1"/>
    <n v="5.7733711048158618"/>
    <n v="1"/>
  </r>
  <r>
    <s v="S00149"/>
    <s v="P2573"/>
    <s v="pkim"/>
    <x v="4"/>
    <x v="1"/>
    <x v="1"/>
    <d v="2025-02-05T00:00:00"/>
    <n v="133"/>
    <n v="0"/>
    <x v="0"/>
    <s v="Completed"/>
    <x v="0"/>
    <n v="26"/>
    <s v="No"/>
    <n v="2025"/>
    <n v="2"/>
    <n v="5.7897727272727257"/>
    <n v="1"/>
  </r>
  <r>
    <s v="S00150"/>
    <s v="P2593"/>
    <s v="erinjones"/>
    <x v="0"/>
    <x v="0"/>
    <x v="1"/>
    <d v="2025-03-12T00:00:00"/>
    <n v="54"/>
    <n v="0"/>
    <x v="0"/>
    <s v="Completed"/>
    <x v="0"/>
    <n v="5"/>
    <s v="No"/>
    <n v="2025"/>
    <n v="3"/>
    <n v="5.8062678062678046"/>
    <n v="1"/>
  </r>
  <r>
    <s v="S00151"/>
    <s v="P5644"/>
    <s v="harrispamela"/>
    <x v="4"/>
    <x v="2"/>
    <x v="2"/>
    <d v="2025-01-09T00:00:00"/>
    <n v="169"/>
    <n v="0"/>
    <x v="0"/>
    <s v="Completed"/>
    <x v="0"/>
    <n v="30"/>
    <s v="Yes"/>
    <n v="2025"/>
    <n v="1"/>
    <n v="5.8228571428571412"/>
    <n v="1"/>
  </r>
  <r>
    <s v="S00152"/>
    <s v="P5906"/>
    <s v="onoble"/>
    <x v="4"/>
    <x v="0"/>
    <x v="5"/>
    <d v="2025-03-21T00:00:00"/>
    <n v="8"/>
    <n v="39.119999999999997"/>
    <x v="1"/>
    <s v="Completed"/>
    <x v="1"/>
    <n v="48"/>
    <s v="No"/>
    <n v="2025"/>
    <n v="3"/>
    <n v="5.8395415472779346"/>
    <n v="1"/>
  </r>
  <r>
    <s v="S00153"/>
    <s v="P4716"/>
    <s v="jamie88"/>
    <x v="3"/>
    <x v="0"/>
    <x v="5"/>
    <d v="2025-02-07T00:00:00"/>
    <n v="27"/>
    <n v="2.64"/>
    <x v="2"/>
    <s v="Completed"/>
    <x v="1"/>
    <n v="3"/>
    <s v="No"/>
    <n v="2025"/>
    <n v="2"/>
    <n v="5.74390804597701"/>
    <n v="1"/>
  </r>
  <r>
    <s v="S00154"/>
    <s v="P8055"/>
    <s v="davidsingleton"/>
    <x v="0"/>
    <x v="1"/>
    <x v="5"/>
    <d v="2025-03-05T00:00:00"/>
    <n v="118"/>
    <n v="46.55"/>
    <x v="3"/>
    <s v="Completed"/>
    <x v="1"/>
    <n v="45"/>
    <s v="Yes"/>
    <n v="2025"/>
    <n v="3"/>
    <n v="5.7528530259365978"/>
    <n v="1"/>
  </r>
  <r>
    <s v="S00155"/>
    <s v="P2328"/>
    <s v="byrdevelyn"/>
    <x v="1"/>
    <x v="1"/>
    <x v="3"/>
    <d v="2025-05-15T00:00:00"/>
    <n v="171"/>
    <n v="18.03"/>
    <x v="4"/>
    <s v="Completed"/>
    <x v="1"/>
    <n v="43"/>
    <s v="Yes"/>
    <n v="2025"/>
    <n v="5"/>
    <n v="5.6349421965317905"/>
    <n v="1"/>
  </r>
  <r>
    <s v="S00156"/>
    <s v="P2755"/>
    <s v="ivan06"/>
    <x v="3"/>
    <x v="1"/>
    <x v="2"/>
    <d v="2025-04-09T00:00:00"/>
    <n v="55"/>
    <n v="0"/>
    <x v="0"/>
    <s v="Completed"/>
    <x v="0"/>
    <n v="29"/>
    <s v="No"/>
    <n v="2025"/>
    <n v="4"/>
    <n v="5.5990144927536214"/>
    <n v="1"/>
  </r>
  <r>
    <s v="S00157"/>
    <s v="P5941"/>
    <s v="gabriellogan"/>
    <x v="0"/>
    <x v="0"/>
    <x v="3"/>
    <d v="2025-02-21T00:00:00"/>
    <n v="37"/>
    <n v="0"/>
    <x v="0"/>
    <s v="Exited Early"/>
    <x v="0"/>
    <n v="1"/>
    <s v="No"/>
    <n v="2025"/>
    <n v="2"/>
    <n v="5.6152906976744168"/>
    <n v="0"/>
  </r>
  <r>
    <s v="S00158"/>
    <s v="P4783"/>
    <s v="gsmith"/>
    <x v="4"/>
    <x v="0"/>
    <x v="5"/>
    <d v="2025-02-12T00:00:00"/>
    <n v="79"/>
    <n v="0"/>
    <x v="0"/>
    <s v="Completed"/>
    <x v="0"/>
    <n v="44"/>
    <s v="No"/>
    <n v="2025"/>
    <n v="2"/>
    <n v="5.6316618075801728"/>
    <n v="1"/>
  </r>
  <r>
    <s v="S00159"/>
    <s v="P7795"/>
    <s v="morrismelissa"/>
    <x v="3"/>
    <x v="0"/>
    <x v="4"/>
    <d v="2025-02-02T00:00:00"/>
    <n v="50"/>
    <n v="0"/>
    <x v="0"/>
    <s v="Completed"/>
    <x v="0"/>
    <n v="21"/>
    <s v="No"/>
    <n v="2025"/>
    <n v="2"/>
    <n v="5.6481286549707583"/>
    <n v="1"/>
  </r>
  <r>
    <s v="S00160"/>
    <s v="P5207"/>
    <s v="courtneycarr"/>
    <x v="4"/>
    <x v="1"/>
    <x v="2"/>
    <d v="2025-02-12T00:00:00"/>
    <n v="57"/>
    <n v="0"/>
    <x v="0"/>
    <s v="Completed"/>
    <x v="0"/>
    <n v="13"/>
    <s v="No"/>
    <n v="2025"/>
    <n v="2"/>
    <n v="5.6646920821114355"/>
    <n v="1"/>
  </r>
  <r>
    <s v="S00161"/>
    <s v="P7830"/>
    <s v="thomasowens"/>
    <x v="1"/>
    <x v="0"/>
    <x v="5"/>
    <d v="2025-04-18T00:00:00"/>
    <n v="116"/>
    <n v="17.05"/>
    <x v="2"/>
    <s v="Exited Early"/>
    <x v="1"/>
    <n v="17"/>
    <s v="No"/>
    <n v="2025"/>
    <n v="4"/>
    <n v="5.6813529411764687"/>
    <n v="0"/>
  </r>
  <r>
    <s v="S00162"/>
    <s v="P9575"/>
    <s v="robertsoncynthia"/>
    <x v="4"/>
    <x v="1"/>
    <x v="3"/>
    <d v="2025-02-13T00:00:00"/>
    <n v="8"/>
    <n v="0"/>
    <x v="0"/>
    <s v="Exited Early"/>
    <x v="0"/>
    <n v="31"/>
    <s v="No"/>
    <n v="2025"/>
    <n v="2"/>
    <n v="5.6478171091445413"/>
    <n v="0"/>
  </r>
  <r>
    <s v="S00163"/>
    <s v="P8379"/>
    <s v="uhudson"/>
    <x v="3"/>
    <x v="0"/>
    <x v="3"/>
    <d v="2025-01-01T00:00:00"/>
    <n v="38"/>
    <n v="0"/>
    <x v="0"/>
    <s v="Completed"/>
    <x v="0"/>
    <n v="21"/>
    <s v="No"/>
    <n v="2025"/>
    <n v="1"/>
    <n v="5.6645266272189332"/>
    <n v="1"/>
  </r>
  <r>
    <s v="S00164"/>
    <s v="P4355"/>
    <s v="victoriastone"/>
    <x v="0"/>
    <x v="2"/>
    <x v="3"/>
    <d v="2025-05-05T00:00:00"/>
    <n v="94"/>
    <n v="0"/>
    <x v="0"/>
    <s v="Exited Early"/>
    <x v="0"/>
    <n v="23"/>
    <s v="No"/>
    <n v="2025"/>
    <n v="5"/>
    <n v="5.681335311572699"/>
    <n v="0"/>
  </r>
  <r>
    <s v="S00165"/>
    <s v="P6225"/>
    <s v="adam91"/>
    <x v="0"/>
    <x v="2"/>
    <x v="0"/>
    <d v="2025-03-22T00:00:00"/>
    <n v="139"/>
    <n v="0"/>
    <x v="0"/>
    <s v="Completed"/>
    <x v="0"/>
    <n v="26"/>
    <s v="No"/>
    <n v="2025"/>
    <n v="3"/>
    <n v="5.6982440476190463"/>
    <n v="1"/>
  </r>
  <r>
    <s v="S00166"/>
    <s v="P9011"/>
    <s v="robertroberts"/>
    <x v="0"/>
    <x v="0"/>
    <x v="0"/>
    <d v="2025-05-17T00:00:00"/>
    <n v="153"/>
    <n v="0"/>
    <x v="0"/>
    <s v="Completed"/>
    <x v="0"/>
    <n v="45"/>
    <s v="Yes"/>
    <n v="2025"/>
    <n v="5"/>
    <n v="5.7152537313432816"/>
    <n v="1"/>
  </r>
  <r>
    <s v="S00167"/>
    <s v="P4379"/>
    <s v="walkerdeborah"/>
    <x v="0"/>
    <x v="1"/>
    <x v="5"/>
    <d v="2025-04-16T00:00:00"/>
    <n v="116"/>
    <n v="47.47"/>
    <x v="2"/>
    <s v="Completed"/>
    <x v="1"/>
    <n v="1"/>
    <s v="Yes"/>
    <n v="2025"/>
    <n v="4"/>
    <n v="5.7323652694610763"/>
    <n v="1"/>
  </r>
  <r>
    <s v="S00168"/>
    <s v="P6734"/>
    <s v="whitemary"/>
    <x v="2"/>
    <x v="2"/>
    <x v="3"/>
    <d v="2025-03-09T00:00:00"/>
    <n v="82"/>
    <n v="0"/>
    <x v="0"/>
    <s v="Exited Early"/>
    <x v="0"/>
    <n v="17"/>
    <s v="No"/>
    <n v="2025"/>
    <n v="3"/>
    <n v="5.6070270270270264"/>
    <n v="0"/>
  </r>
  <r>
    <s v="S00169"/>
    <s v="P1828"/>
    <s v="fray"/>
    <x v="2"/>
    <x v="1"/>
    <x v="2"/>
    <d v="2025-04-15T00:00:00"/>
    <n v="35"/>
    <n v="0"/>
    <x v="0"/>
    <s v="Completed"/>
    <x v="0"/>
    <n v="46"/>
    <s v="No"/>
    <n v="2025"/>
    <n v="4"/>
    <n v="5.6239156626506013"/>
    <n v="1"/>
  </r>
  <r>
    <s v="S00170"/>
    <s v="P1330"/>
    <s v="weaverdaniel"/>
    <x v="1"/>
    <x v="2"/>
    <x v="5"/>
    <d v="2025-06-08T00:00:00"/>
    <n v="168"/>
    <n v="0"/>
    <x v="0"/>
    <s v="Completed"/>
    <x v="0"/>
    <n v="18"/>
    <s v="Yes"/>
    <n v="2025"/>
    <n v="6"/>
    <n v="5.6409063444108751"/>
    <n v="1"/>
  </r>
  <r>
    <s v="S00171"/>
    <s v="P4426"/>
    <s v="joe22"/>
    <x v="3"/>
    <x v="0"/>
    <x v="3"/>
    <d v="2025-04-09T00:00:00"/>
    <n v="123"/>
    <n v="0"/>
    <x v="0"/>
    <s v="Crashed"/>
    <x v="1"/>
    <n v="47"/>
    <s v="No"/>
    <n v="2025"/>
    <n v="4"/>
    <n v="5.6579999999999986"/>
    <n v="0"/>
  </r>
  <r>
    <s v="S00172"/>
    <s v="P7943"/>
    <s v="vaughnlori"/>
    <x v="3"/>
    <x v="1"/>
    <x v="5"/>
    <d v="2025-05-13T00:00:00"/>
    <n v="41"/>
    <n v="33.29"/>
    <x v="1"/>
    <s v="Completed"/>
    <x v="1"/>
    <n v="29"/>
    <s v="No"/>
    <n v="2025"/>
    <n v="5"/>
    <n v="5.6751975683890565"/>
    <n v="1"/>
  </r>
  <r>
    <s v="S00173"/>
    <s v="P7565"/>
    <s v="ambersmith"/>
    <x v="1"/>
    <x v="0"/>
    <x v="1"/>
    <d v="2024-12-30T00:00:00"/>
    <n v="156"/>
    <n v="0"/>
    <x v="0"/>
    <s v="Completed"/>
    <x v="0"/>
    <n v="34"/>
    <s v="Yes"/>
    <n v="2024"/>
    <n v="12"/>
    <n v="5.5910060975609754"/>
    <n v="1"/>
  </r>
  <r>
    <s v="S00174"/>
    <s v="P4796"/>
    <s v="okoch"/>
    <x v="3"/>
    <x v="2"/>
    <x v="5"/>
    <d v="2025-02-28T00:00:00"/>
    <n v="84"/>
    <n v="0"/>
    <x v="0"/>
    <s v="Completed"/>
    <x v="0"/>
    <n v="15"/>
    <s v="No"/>
    <n v="2025"/>
    <n v="2"/>
    <n v="5.608103975535168"/>
    <n v="1"/>
  </r>
  <r>
    <s v="S00175"/>
    <s v="P6406"/>
    <s v="shannonevans"/>
    <x v="2"/>
    <x v="0"/>
    <x v="0"/>
    <d v="2025-02-27T00:00:00"/>
    <n v="138"/>
    <n v="27.01"/>
    <x v="1"/>
    <s v="Completed"/>
    <x v="1"/>
    <n v="18"/>
    <s v="No"/>
    <n v="2025"/>
    <n v="2"/>
    <n v="5.6253067484662571"/>
    <n v="1"/>
  </r>
  <r>
    <s v="S00176"/>
    <s v="P3229"/>
    <s v="gina94"/>
    <x v="4"/>
    <x v="1"/>
    <x v="5"/>
    <d v="2025-05-17T00:00:00"/>
    <n v="26"/>
    <n v="0"/>
    <x v="0"/>
    <s v="Completed"/>
    <x v="0"/>
    <n v="22"/>
    <s v="No"/>
    <n v="2025"/>
    <n v="5"/>
    <n v="5.559507692307692"/>
    <n v="1"/>
  </r>
  <r>
    <s v="S00177"/>
    <s v="P4485"/>
    <s v="iyoung"/>
    <x v="3"/>
    <x v="1"/>
    <x v="0"/>
    <d v="2025-05-29T00:00:00"/>
    <n v="111"/>
    <n v="0"/>
    <x v="0"/>
    <s v="Completed"/>
    <x v="0"/>
    <n v="26"/>
    <s v="No"/>
    <n v="2025"/>
    <n v="5"/>
    <n v="5.5766666666666662"/>
    <n v="1"/>
  </r>
  <r>
    <s v="S00178"/>
    <s v="P4333"/>
    <s v="matthewcasey"/>
    <x v="4"/>
    <x v="1"/>
    <x v="2"/>
    <d v="2025-01-05T00:00:00"/>
    <n v="100"/>
    <n v="0"/>
    <x v="0"/>
    <s v="Completed"/>
    <x v="0"/>
    <n v="7"/>
    <s v="No"/>
    <n v="2025"/>
    <n v="1"/>
    <n v="5.5939318885448914"/>
    <n v="1"/>
  </r>
  <r>
    <s v="S00179"/>
    <s v="P3013"/>
    <s v="smayo"/>
    <x v="4"/>
    <x v="1"/>
    <x v="5"/>
    <d v="2025-05-24T00:00:00"/>
    <n v="84"/>
    <n v="0"/>
    <x v="0"/>
    <s v="Completed"/>
    <x v="0"/>
    <n v="36"/>
    <s v="No"/>
    <n v="2025"/>
    <n v="5"/>
    <n v="5.6113043478260867"/>
    <n v="1"/>
  </r>
  <r>
    <s v="S00180"/>
    <s v="P9205"/>
    <s v="douglas13"/>
    <x v="1"/>
    <x v="2"/>
    <x v="4"/>
    <d v="2025-03-27T00:00:00"/>
    <n v="90"/>
    <n v="33.43"/>
    <x v="1"/>
    <s v="Exited Early"/>
    <x v="1"/>
    <n v="50"/>
    <s v="No"/>
    <n v="2025"/>
    <n v="3"/>
    <n v="5.6287850467289715"/>
    <n v="0"/>
  </r>
  <r>
    <s v="S00181"/>
    <s v="P2490"/>
    <s v="bakerjohn"/>
    <x v="4"/>
    <x v="2"/>
    <x v="2"/>
    <d v="2025-05-22T00:00:00"/>
    <n v="61"/>
    <n v="23.71"/>
    <x v="3"/>
    <s v="Completed"/>
    <x v="1"/>
    <n v="37"/>
    <s v="No"/>
    <n v="2025"/>
    <n v="5"/>
    <n v="5.5419062499999994"/>
    <n v="1"/>
  </r>
  <r>
    <s v="S00182"/>
    <s v="P3609"/>
    <s v="brianlopez"/>
    <x v="1"/>
    <x v="0"/>
    <x v="2"/>
    <d v="2025-04-01T00:00:00"/>
    <n v="88"/>
    <n v="0"/>
    <x v="0"/>
    <s v="Completed"/>
    <x v="0"/>
    <n v="39"/>
    <s v="No"/>
    <n v="2025"/>
    <n v="4"/>
    <n v="5.4849529780564259"/>
    <n v="1"/>
  </r>
  <r>
    <s v="S00183"/>
    <s v="P2506"/>
    <s v="troberts"/>
    <x v="0"/>
    <x v="0"/>
    <x v="1"/>
    <d v="2025-01-25T00:00:00"/>
    <n v="56"/>
    <n v="0"/>
    <x v="0"/>
    <s v="Completed"/>
    <x v="0"/>
    <n v="1"/>
    <s v="No"/>
    <n v="2025"/>
    <n v="1"/>
    <n v="5.5022012578616346"/>
    <n v="1"/>
  </r>
  <r>
    <s v="S00184"/>
    <s v="P6474"/>
    <s v="robertmassey"/>
    <x v="4"/>
    <x v="0"/>
    <x v="1"/>
    <d v="2025-02-05T00:00:00"/>
    <n v="54"/>
    <n v="0"/>
    <x v="0"/>
    <s v="Completed"/>
    <x v="0"/>
    <n v="49"/>
    <s v="No"/>
    <n v="2025"/>
    <n v="2"/>
    <n v="5.5195583596214508"/>
    <n v="1"/>
  </r>
  <r>
    <s v="S00185"/>
    <s v="P5211"/>
    <s v="ynovak"/>
    <x v="3"/>
    <x v="2"/>
    <x v="3"/>
    <d v="2025-02-25T00:00:00"/>
    <n v="27"/>
    <n v="0"/>
    <x v="0"/>
    <s v="Completed"/>
    <x v="1"/>
    <n v="29"/>
    <s v="No"/>
    <n v="2025"/>
    <n v="2"/>
    <n v="5.5370253164556953"/>
    <n v="1"/>
  </r>
  <r>
    <s v="S00186"/>
    <s v="P7900"/>
    <s v="colinmartinez"/>
    <x v="2"/>
    <x v="2"/>
    <x v="5"/>
    <d v="2024-12-18T00:00:00"/>
    <n v="30"/>
    <n v="27.43"/>
    <x v="2"/>
    <s v="Completed"/>
    <x v="1"/>
    <n v="1"/>
    <s v="No"/>
    <n v="2024"/>
    <n v="12"/>
    <n v="5.5546031746031739"/>
    <n v="1"/>
  </r>
  <r>
    <s v="S00187"/>
    <s v="P6989"/>
    <s v="schultzkatherine"/>
    <x v="0"/>
    <x v="2"/>
    <x v="5"/>
    <d v="2025-02-26T00:00:00"/>
    <n v="128"/>
    <n v="0"/>
    <x v="0"/>
    <s v="Crashed"/>
    <x v="0"/>
    <n v="36"/>
    <s v="No"/>
    <n v="2025"/>
    <n v="2"/>
    <n v="5.4849363057324831"/>
    <n v="0"/>
  </r>
  <r>
    <s v="S00188"/>
    <s v="P5714"/>
    <s v="romerostephanie"/>
    <x v="0"/>
    <x v="0"/>
    <x v="2"/>
    <d v="2025-02-28T00:00:00"/>
    <n v="16"/>
    <n v="36"/>
    <x v="4"/>
    <s v="Completed"/>
    <x v="1"/>
    <n v="40"/>
    <s v="No"/>
    <n v="2025"/>
    <n v="2"/>
    <n v="5.5024600638977628"/>
    <n v="1"/>
  </r>
  <r>
    <s v="S00189"/>
    <s v="P4279"/>
    <s v="otaylor"/>
    <x v="3"/>
    <x v="0"/>
    <x v="1"/>
    <d v="2025-05-23T00:00:00"/>
    <n v="57"/>
    <n v="0"/>
    <x v="0"/>
    <s v="Completed"/>
    <x v="0"/>
    <n v="18"/>
    <s v="No"/>
    <n v="2025"/>
    <n v="5"/>
    <n v="5.4047115384615374"/>
    <n v="1"/>
  </r>
  <r>
    <s v="S00190"/>
    <s v="P5227"/>
    <s v="snguyen"/>
    <x v="0"/>
    <x v="0"/>
    <x v="5"/>
    <d v="2025-05-20T00:00:00"/>
    <n v="153"/>
    <n v="0"/>
    <x v="0"/>
    <s v="Completed"/>
    <x v="0"/>
    <n v="1"/>
    <s v="Yes"/>
    <n v="2025"/>
    <n v="5"/>
    <n v="5.4220900321543404"/>
    <n v="1"/>
  </r>
  <r>
    <s v="S00191"/>
    <s v="P6734"/>
    <s v="christine87"/>
    <x v="0"/>
    <x v="1"/>
    <x v="5"/>
    <d v="2025-01-25T00:00:00"/>
    <n v="130"/>
    <n v="0"/>
    <x v="0"/>
    <s v="Completed"/>
    <x v="1"/>
    <n v="8"/>
    <s v="No"/>
    <n v="2025"/>
    <n v="1"/>
    <n v="5.4395806451612891"/>
    <n v="1"/>
  </r>
  <r>
    <s v="S00192"/>
    <s v="P2833"/>
    <s v="kerry23"/>
    <x v="4"/>
    <x v="2"/>
    <x v="0"/>
    <d v="2024-12-24T00:00:00"/>
    <n v="47"/>
    <n v="12.41"/>
    <x v="2"/>
    <s v="Completed"/>
    <x v="1"/>
    <n v="36"/>
    <s v="No"/>
    <n v="2024"/>
    <n v="12"/>
    <n v="5.4571844660194166"/>
    <n v="1"/>
  </r>
  <r>
    <s v="S00193"/>
    <s v="P3866"/>
    <s v="natashamartin"/>
    <x v="3"/>
    <x v="2"/>
    <x v="3"/>
    <d v="2025-03-01T00:00:00"/>
    <n v="53"/>
    <n v="0"/>
    <x v="0"/>
    <s v="Incomplete"/>
    <x v="0"/>
    <n v="28"/>
    <s v="No"/>
    <n v="2025"/>
    <n v="3"/>
    <n v="5.4346103896103894"/>
    <n v="0"/>
  </r>
  <r>
    <s v="S00194"/>
    <s v="P9566"/>
    <s v="rileyjason"/>
    <x v="0"/>
    <x v="2"/>
    <x v="4"/>
    <d v="2025-03-30T00:00:00"/>
    <n v="19"/>
    <n v="0"/>
    <x v="0"/>
    <s v="Completed"/>
    <x v="0"/>
    <n v="27"/>
    <s v="No"/>
    <n v="2025"/>
    <n v="3"/>
    <n v="5.4523127035830612"/>
    <n v="1"/>
  </r>
  <r>
    <s v="S00195"/>
    <s v="P1819"/>
    <s v="garciadanielle"/>
    <x v="1"/>
    <x v="1"/>
    <x v="0"/>
    <d v="2024-12-28T00:00:00"/>
    <n v="117"/>
    <n v="0"/>
    <x v="0"/>
    <s v="Completed"/>
    <x v="0"/>
    <n v="17"/>
    <s v="No"/>
    <n v="2024"/>
    <n v="12"/>
    <n v="5.4701307189542483"/>
    <n v="1"/>
  </r>
  <r>
    <s v="S00196"/>
    <s v="P5750"/>
    <s v="walterkayla"/>
    <x v="0"/>
    <x v="0"/>
    <x v="1"/>
    <d v="2025-01-02T00:00:00"/>
    <n v="35"/>
    <n v="18.72"/>
    <x v="4"/>
    <s v="Completed"/>
    <x v="1"/>
    <n v="20"/>
    <s v="No"/>
    <n v="2025"/>
    <n v="1"/>
    <n v="5.4880655737704913"/>
    <n v="1"/>
  </r>
  <r>
    <s v="S00197"/>
    <s v="P8044"/>
    <s v="henryrosales"/>
    <x v="1"/>
    <x v="1"/>
    <x v="2"/>
    <d v="2025-05-11T00:00:00"/>
    <n v="138"/>
    <n v="0"/>
    <x v="0"/>
    <s v="Completed"/>
    <x v="0"/>
    <n v="47"/>
    <s v="No"/>
    <n v="2025"/>
    <n v="5"/>
    <n v="5.4445394736842099"/>
    <n v="1"/>
  </r>
  <r>
    <s v="S00198"/>
    <s v="P7656"/>
    <s v="nrichmond"/>
    <x v="4"/>
    <x v="0"/>
    <x v="4"/>
    <d v="2025-01-30T00:00:00"/>
    <n v="45"/>
    <n v="0"/>
    <x v="0"/>
    <s v="Completed"/>
    <x v="0"/>
    <n v="24"/>
    <s v="No"/>
    <n v="2025"/>
    <n v="1"/>
    <n v="5.4625082508250822"/>
    <n v="1"/>
  </r>
  <r>
    <s v="S00199"/>
    <s v="P9860"/>
    <s v="andrewbrown"/>
    <x v="2"/>
    <x v="0"/>
    <x v="5"/>
    <d v="2025-05-31T00:00:00"/>
    <n v="97"/>
    <n v="0"/>
    <x v="0"/>
    <s v="Completed"/>
    <x v="0"/>
    <n v="5"/>
    <s v="No"/>
    <n v="2025"/>
    <n v="5"/>
    <n v="5.4805960264900655"/>
    <n v="1"/>
  </r>
  <r>
    <s v="S00200"/>
    <s v="P7486"/>
    <s v="qmills"/>
    <x v="2"/>
    <x v="1"/>
    <x v="1"/>
    <d v="2025-02-04T00:00:00"/>
    <n v="18"/>
    <n v="0"/>
    <x v="0"/>
    <s v="Completed"/>
    <x v="0"/>
    <n v="14"/>
    <s v="No"/>
    <n v="2025"/>
    <n v="2"/>
    <n v="5.4988039867109633"/>
    <n v="1"/>
  </r>
  <r>
    <s v="S00201"/>
    <s v="P5966"/>
    <s v="qcarrillo"/>
    <x v="2"/>
    <x v="1"/>
    <x v="5"/>
    <d v="2025-04-04T00:00:00"/>
    <n v="7"/>
    <n v="0"/>
    <x v="0"/>
    <s v="Incomplete"/>
    <x v="0"/>
    <n v="22"/>
    <s v="No"/>
    <n v="2025"/>
    <n v="4"/>
    <n v="5.5171333333333328"/>
    <n v="0"/>
  </r>
  <r>
    <s v="S00202"/>
    <s v="P8953"/>
    <s v="mcdanielautumn"/>
    <x v="4"/>
    <x v="2"/>
    <x v="3"/>
    <d v="2025-03-26T00:00:00"/>
    <n v="42"/>
    <n v="32.85"/>
    <x v="2"/>
    <s v="Incomplete"/>
    <x v="1"/>
    <n v="38"/>
    <s v="No"/>
    <n v="2025"/>
    <n v="3"/>
    <n v="5.5355852842809359"/>
    <n v="0"/>
  </r>
  <r>
    <s v="S00203"/>
    <s v="P5877"/>
    <s v="jperkins"/>
    <x v="1"/>
    <x v="2"/>
    <x v="2"/>
    <d v="2025-04-11T00:00:00"/>
    <n v="111"/>
    <n v="0"/>
    <x v="0"/>
    <s v="Completed"/>
    <x v="0"/>
    <n v="39"/>
    <s v="No"/>
    <n v="2025"/>
    <n v="4"/>
    <n v="5.4439261744966441"/>
    <n v="1"/>
  </r>
  <r>
    <s v="S00204"/>
    <s v="P7851"/>
    <s v="hernandezmichael"/>
    <x v="1"/>
    <x v="2"/>
    <x v="0"/>
    <d v="2025-05-05T00:00:00"/>
    <n v="32"/>
    <n v="0"/>
    <x v="0"/>
    <s v="Incomplete"/>
    <x v="0"/>
    <n v="22"/>
    <s v="No"/>
    <n v="2025"/>
    <n v="5"/>
    <n v="5.4622558922558921"/>
    <n v="0"/>
  </r>
  <r>
    <s v="S00205"/>
    <s v="P8927"/>
    <s v="xpadilla"/>
    <x v="0"/>
    <x v="1"/>
    <x v="2"/>
    <d v="2025-05-28T00:00:00"/>
    <n v="46"/>
    <n v="0"/>
    <x v="0"/>
    <s v="Completed"/>
    <x v="1"/>
    <n v="42"/>
    <s v="No"/>
    <n v="2025"/>
    <n v="5"/>
    <n v="5.480709459459459"/>
    <n v="1"/>
  </r>
  <r>
    <s v="S00206"/>
    <s v="P3345"/>
    <s v="wjohnson"/>
    <x v="4"/>
    <x v="0"/>
    <x v="1"/>
    <d v="2025-05-25T00:00:00"/>
    <n v="98"/>
    <n v="0"/>
    <x v="0"/>
    <s v="Completed"/>
    <x v="1"/>
    <n v="30"/>
    <s v="No"/>
    <n v="2025"/>
    <n v="5"/>
    <n v="5.4992881355932202"/>
    <n v="1"/>
  </r>
  <r>
    <s v="S00207"/>
    <s v="P1709"/>
    <s v="darren53"/>
    <x v="4"/>
    <x v="0"/>
    <x v="5"/>
    <d v="2025-05-14T00:00:00"/>
    <n v="85"/>
    <n v="0"/>
    <x v="0"/>
    <s v="Completed"/>
    <x v="0"/>
    <n v="4"/>
    <s v="No"/>
    <n v="2025"/>
    <n v="5"/>
    <n v="5.5179931972789111"/>
    <n v="1"/>
  </r>
  <r>
    <s v="S00208"/>
    <s v="P3727"/>
    <s v="nathanielchavez"/>
    <x v="4"/>
    <x v="0"/>
    <x v="2"/>
    <d v="2025-05-13T00:00:00"/>
    <n v="135"/>
    <n v="0"/>
    <x v="0"/>
    <s v="Completed"/>
    <x v="1"/>
    <n v="42"/>
    <s v="No"/>
    <n v="2025"/>
    <n v="5"/>
    <n v="5.5368259385665528"/>
    <n v="1"/>
  </r>
  <r>
    <s v="S00209"/>
    <s v="P6903"/>
    <s v="selliott"/>
    <x v="4"/>
    <x v="1"/>
    <x v="3"/>
    <d v="2024-12-15T00:00:00"/>
    <n v="109"/>
    <n v="0"/>
    <x v="0"/>
    <s v="Completed"/>
    <x v="0"/>
    <n v="15"/>
    <s v="No"/>
    <n v="2024"/>
    <n v="12"/>
    <n v="5.5557876712328769"/>
    <n v="1"/>
  </r>
  <r>
    <s v="S00210"/>
    <s v="P9657"/>
    <s v="elowe"/>
    <x v="3"/>
    <x v="2"/>
    <x v="3"/>
    <d v="2025-05-13T00:00:00"/>
    <n v="41"/>
    <n v="0"/>
    <x v="0"/>
    <s v="Completed"/>
    <x v="0"/>
    <n v="14"/>
    <s v="No"/>
    <n v="2025"/>
    <n v="5"/>
    <n v="5.5748797250859106"/>
    <n v="1"/>
  </r>
  <r>
    <s v="S00211"/>
    <s v="P6523"/>
    <s v="edwardsjohn"/>
    <x v="1"/>
    <x v="0"/>
    <x v="5"/>
    <d v="2025-01-29T00:00:00"/>
    <n v="47"/>
    <n v="8.61"/>
    <x v="2"/>
    <s v="Completed"/>
    <x v="1"/>
    <n v="1"/>
    <s v="No"/>
    <n v="2025"/>
    <n v="1"/>
    <n v="5.5941034482758623"/>
    <n v="1"/>
  </r>
  <r>
    <s v="S00212"/>
    <s v="P4216"/>
    <s v="sheilawatkins"/>
    <x v="0"/>
    <x v="0"/>
    <x v="1"/>
    <d v="2025-03-22T00:00:00"/>
    <n v="141"/>
    <n v="0"/>
    <x v="0"/>
    <s v="Completed"/>
    <x v="0"/>
    <n v="17"/>
    <s v="No"/>
    <n v="2025"/>
    <n v="3"/>
    <n v="5.5836678200692038"/>
    <n v="1"/>
  </r>
  <r>
    <s v="S00213"/>
    <s v="P5442"/>
    <s v="nicholas77"/>
    <x v="2"/>
    <x v="1"/>
    <x v="0"/>
    <d v="2025-03-06T00:00:00"/>
    <n v="56"/>
    <n v="15.9"/>
    <x v="1"/>
    <s v="Exited Early"/>
    <x v="1"/>
    <n v="28"/>
    <s v="No"/>
    <n v="2025"/>
    <n v="3"/>
    <n v="5.6030555555555548"/>
    <n v="0"/>
  </r>
  <r>
    <s v="S00214"/>
    <s v="P5369"/>
    <s v="alexandermoore"/>
    <x v="2"/>
    <x v="1"/>
    <x v="5"/>
    <d v="2025-06-09T00:00:00"/>
    <n v="93"/>
    <n v="0"/>
    <x v="0"/>
    <s v="Completed"/>
    <x v="0"/>
    <n v="21"/>
    <s v="No"/>
    <n v="2025"/>
    <n v="6"/>
    <n v="5.5671777003484308"/>
    <n v="1"/>
  </r>
  <r>
    <s v="S00215"/>
    <s v="P2904"/>
    <s v="william77"/>
    <x v="3"/>
    <x v="2"/>
    <x v="1"/>
    <d v="2025-01-31T00:00:00"/>
    <n v="147"/>
    <n v="0"/>
    <x v="0"/>
    <s v="Completed"/>
    <x v="0"/>
    <n v="48"/>
    <s v="No"/>
    <n v="2025"/>
    <n v="1"/>
    <n v="5.5866433566433553"/>
    <n v="1"/>
  </r>
  <r>
    <s v="S00216"/>
    <s v="P2461"/>
    <s v="michelle54"/>
    <x v="1"/>
    <x v="0"/>
    <x v="5"/>
    <d v="2025-01-31T00:00:00"/>
    <n v="34"/>
    <n v="0"/>
    <x v="0"/>
    <s v="Completed"/>
    <x v="0"/>
    <n v="50"/>
    <s v="No"/>
    <n v="2025"/>
    <n v="1"/>
    <n v="5.6062456140350871"/>
    <n v="1"/>
  </r>
  <r>
    <s v="S00217"/>
    <s v="P3087"/>
    <s v="quinncaroline"/>
    <x v="2"/>
    <x v="0"/>
    <x v="3"/>
    <d v="2025-04-17T00:00:00"/>
    <n v="51"/>
    <n v="0"/>
    <x v="0"/>
    <s v="Crashed"/>
    <x v="0"/>
    <n v="2"/>
    <s v="No"/>
    <n v="2025"/>
    <n v="4"/>
    <n v="5.625985915492957"/>
    <n v="0"/>
  </r>
  <r>
    <s v="S00218"/>
    <s v="P1617"/>
    <s v="hlucas"/>
    <x v="3"/>
    <x v="0"/>
    <x v="2"/>
    <d v="2025-06-03T00:00:00"/>
    <n v="44"/>
    <n v="0"/>
    <x v="0"/>
    <s v="Incomplete"/>
    <x v="0"/>
    <n v="27"/>
    <s v="No"/>
    <n v="2025"/>
    <n v="6"/>
    <n v="5.6458657243816246"/>
    <n v="0"/>
  </r>
  <r>
    <s v="S00219"/>
    <s v="P3673"/>
    <s v="davisdevin"/>
    <x v="0"/>
    <x v="1"/>
    <x v="5"/>
    <d v="2024-12-16T00:00:00"/>
    <n v="114"/>
    <n v="5.31"/>
    <x v="1"/>
    <s v="Completed"/>
    <x v="1"/>
    <n v="9"/>
    <s v="No"/>
    <n v="2024"/>
    <n v="12"/>
    <n v="5.6658865248226942"/>
    <n v="1"/>
  </r>
  <r>
    <s v="S00220"/>
    <s v="P7757"/>
    <s v="tonyachristensen"/>
    <x v="4"/>
    <x v="0"/>
    <x v="1"/>
    <d v="2025-03-04T00:00:00"/>
    <n v="154"/>
    <n v="0"/>
    <x v="0"/>
    <s v="Completed"/>
    <x v="0"/>
    <n v="26"/>
    <s v="Yes"/>
    <n v="2025"/>
    <n v="3"/>
    <n v="5.6671530249110305"/>
    <n v="1"/>
  </r>
  <r>
    <s v="S00221"/>
    <s v="P1073"/>
    <s v="shawna86"/>
    <x v="3"/>
    <x v="2"/>
    <x v="1"/>
    <d v="2025-04-28T00:00:00"/>
    <n v="105"/>
    <n v="0"/>
    <x v="0"/>
    <s v="Completed"/>
    <x v="0"/>
    <n v="38"/>
    <s v="No"/>
    <n v="2025"/>
    <n v="4"/>
    <n v="5.6873928571428554"/>
    <n v="1"/>
  </r>
  <r>
    <s v="S00222"/>
    <s v="P9392"/>
    <s v="scott81"/>
    <x v="2"/>
    <x v="2"/>
    <x v="0"/>
    <d v="2025-01-26T00:00:00"/>
    <n v="80"/>
    <n v="0"/>
    <x v="0"/>
    <s v="Exited Early"/>
    <x v="0"/>
    <n v="39"/>
    <s v="No"/>
    <n v="2025"/>
    <n v="1"/>
    <n v="5.7077777777777765"/>
    <n v="0"/>
  </r>
  <r>
    <s v="S00223"/>
    <s v="P8292"/>
    <s v="kellyrichardson"/>
    <x v="2"/>
    <x v="2"/>
    <x v="0"/>
    <d v="2025-04-09T00:00:00"/>
    <n v="92"/>
    <n v="0"/>
    <x v="0"/>
    <s v="Completed"/>
    <x v="0"/>
    <n v="11"/>
    <s v="No"/>
    <n v="2025"/>
    <n v="4"/>
    <n v="5.728309352517984"/>
    <n v="1"/>
  </r>
  <r>
    <s v="S00224"/>
    <s v="P4744"/>
    <s v="jeansmall"/>
    <x v="3"/>
    <x v="1"/>
    <x v="1"/>
    <d v="2025-01-26T00:00:00"/>
    <n v="113"/>
    <n v="0"/>
    <x v="0"/>
    <s v="Completed"/>
    <x v="0"/>
    <n v="46"/>
    <s v="No"/>
    <n v="2025"/>
    <n v="1"/>
    <n v="5.748989169675089"/>
    <n v="1"/>
  </r>
  <r>
    <s v="S00225"/>
    <s v="P1940"/>
    <s v="richard18"/>
    <x v="2"/>
    <x v="1"/>
    <x v="0"/>
    <d v="2025-01-06T00:00:00"/>
    <n v="117"/>
    <n v="23.32"/>
    <x v="1"/>
    <s v="Completed"/>
    <x v="1"/>
    <n v="11"/>
    <s v="No"/>
    <n v="2025"/>
    <n v="1"/>
    <n v="5.7698188405797088"/>
    <n v="1"/>
  </r>
  <r>
    <s v="S00226"/>
    <s v="P7147"/>
    <s v="jayroberts"/>
    <x v="0"/>
    <x v="0"/>
    <x v="5"/>
    <d v="2025-01-31T00:00:00"/>
    <n v="71"/>
    <n v="0"/>
    <x v="0"/>
    <s v="Completed"/>
    <x v="0"/>
    <n v="37"/>
    <s v="No"/>
    <n v="2025"/>
    <n v="1"/>
    <n v="5.7059999999999986"/>
    <n v="1"/>
  </r>
  <r>
    <s v="S00227"/>
    <s v="P9650"/>
    <s v="lpowers"/>
    <x v="4"/>
    <x v="1"/>
    <x v="4"/>
    <d v="2025-01-23T00:00:00"/>
    <n v="132"/>
    <n v="0"/>
    <x v="0"/>
    <s v="Completed"/>
    <x v="1"/>
    <n v="50"/>
    <s v="No"/>
    <n v="2025"/>
    <n v="1"/>
    <n v="5.7268248175182466"/>
    <n v="1"/>
  </r>
  <r>
    <s v="S00228"/>
    <s v="P4765"/>
    <s v="thomas60"/>
    <x v="0"/>
    <x v="1"/>
    <x v="4"/>
    <d v="2025-05-02T00:00:00"/>
    <n v="30"/>
    <n v="0"/>
    <x v="0"/>
    <s v="Completed"/>
    <x v="0"/>
    <n v="20"/>
    <s v="No"/>
    <n v="2025"/>
    <n v="5"/>
    <n v="5.747802197802196"/>
    <n v="1"/>
  </r>
  <r>
    <s v="S00229"/>
    <s v="P1732"/>
    <s v="zjames"/>
    <x v="4"/>
    <x v="0"/>
    <x v="1"/>
    <d v="2025-05-27T00:00:00"/>
    <n v="48"/>
    <n v="0"/>
    <x v="0"/>
    <s v="Exited Early"/>
    <x v="0"/>
    <n v="36"/>
    <s v="No"/>
    <n v="2025"/>
    <n v="5"/>
    <n v="5.7689338235294105"/>
    <n v="0"/>
  </r>
  <r>
    <s v="S00230"/>
    <s v="P7236"/>
    <s v="zhopkins"/>
    <x v="2"/>
    <x v="2"/>
    <x v="1"/>
    <d v="2025-05-18T00:00:00"/>
    <n v="98"/>
    <n v="27.66"/>
    <x v="1"/>
    <s v="Completed"/>
    <x v="1"/>
    <n v="27"/>
    <s v="No"/>
    <n v="2025"/>
    <n v="5"/>
    <n v="5.790221402214021"/>
    <n v="1"/>
  </r>
  <r>
    <s v="S00231"/>
    <s v="P9363"/>
    <s v="melissa94"/>
    <x v="1"/>
    <x v="1"/>
    <x v="2"/>
    <d v="2025-02-05T00:00:00"/>
    <n v="23"/>
    <n v="24.09"/>
    <x v="4"/>
    <s v="Incomplete"/>
    <x v="1"/>
    <n v="23"/>
    <s v="No"/>
    <n v="2025"/>
    <n v="2"/>
    <n v="5.7092222222222206"/>
    <n v="0"/>
  </r>
  <r>
    <s v="S00232"/>
    <s v="P8348"/>
    <s v="pottsdavid"/>
    <x v="1"/>
    <x v="0"/>
    <x v="5"/>
    <d v="2025-05-09T00:00:00"/>
    <n v="146"/>
    <n v="43.02"/>
    <x v="4"/>
    <s v="Completed"/>
    <x v="1"/>
    <n v="24"/>
    <s v="Yes"/>
    <n v="2025"/>
    <n v="5"/>
    <n v="5.6408921933085487"/>
    <n v="1"/>
  </r>
  <r>
    <s v="S00233"/>
    <s v="P8315"/>
    <s v="zmartin"/>
    <x v="2"/>
    <x v="2"/>
    <x v="3"/>
    <d v="2025-04-10T00:00:00"/>
    <n v="55"/>
    <n v="0"/>
    <x v="0"/>
    <s v="Completed"/>
    <x v="0"/>
    <n v="20"/>
    <s v="No"/>
    <n v="2025"/>
    <n v="4"/>
    <n v="5.5014179104477607"/>
    <n v="1"/>
  </r>
  <r>
    <s v="S00234"/>
    <s v="P4086"/>
    <s v="joseph76"/>
    <x v="1"/>
    <x v="1"/>
    <x v="2"/>
    <d v="2024-12-26T00:00:00"/>
    <n v="154"/>
    <n v="0"/>
    <x v="0"/>
    <s v="Completed"/>
    <x v="0"/>
    <n v="22"/>
    <s v="Yes"/>
    <n v="2024"/>
    <n v="12"/>
    <n v="5.5220224719101116"/>
    <n v="1"/>
  </r>
  <r>
    <s v="S00235"/>
    <s v="P5994"/>
    <s v="deannanewman"/>
    <x v="0"/>
    <x v="2"/>
    <x v="5"/>
    <d v="2025-04-17T00:00:00"/>
    <n v="163"/>
    <n v="0"/>
    <x v="0"/>
    <s v="Completed"/>
    <x v="0"/>
    <n v="46"/>
    <s v="Yes"/>
    <n v="2025"/>
    <n v="4"/>
    <n v="5.5427819548872179"/>
    <n v="1"/>
  </r>
  <r>
    <s v="S00236"/>
    <s v="P5794"/>
    <s v="rodriguezkathleen"/>
    <x v="2"/>
    <x v="2"/>
    <x v="3"/>
    <d v="2025-04-12T00:00:00"/>
    <n v="59"/>
    <n v="0"/>
    <x v="0"/>
    <s v="Crashed"/>
    <x v="0"/>
    <n v="5"/>
    <s v="No"/>
    <n v="2025"/>
    <n v="4"/>
    <n v="5.5636981132075469"/>
    <n v="0"/>
  </r>
  <r>
    <s v="S00237"/>
    <s v="P4427"/>
    <s v="nelsonbrandon"/>
    <x v="2"/>
    <x v="2"/>
    <x v="3"/>
    <d v="2025-02-15T00:00:00"/>
    <n v="26"/>
    <n v="11.67"/>
    <x v="1"/>
    <s v="Completed"/>
    <x v="1"/>
    <n v="49"/>
    <s v="No"/>
    <n v="2025"/>
    <n v="2"/>
    <n v="5.5847727272727266"/>
    <n v="1"/>
  </r>
  <r>
    <s v="S00238"/>
    <s v="P4599"/>
    <s v="wrightjulia"/>
    <x v="3"/>
    <x v="1"/>
    <x v="2"/>
    <d v="2025-02-27T00:00:00"/>
    <n v="117"/>
    <n v="0"/>
    <x v="0"/>
    <s v="Exited Early"/>
    <x v="0"/>
    <n v="21"/>
    <s v="No"/>
    <n v="2025"/>
    <n v="2"/>
    <n v="5.5616349809885923"/>
    <n v="0"/>
  </r>
  <r>
    <s v="S00239"/>
    <s v="P3944"/>
    <s v="zthomas"/>
    <x v="2"/>
    <x v="1"/>
    <x v="4"/>
    <d v="2025-01-27T00:00:00"/>
    <n v="112"/>
    <n v="2.2599999999999998"/>
    <x v="2"/>
    <s v="Completed"/>
    <x v="1"/>
    <n v="22"/>
    <s v="No"/>
    <n v="2025"/>
    <n v="1"/>
    <n v="5.5828625954198463"/>
    <n v="1"/>
  </r>
  <r>
    <s v="S00240"/>
    <s v="P9467"/>
    <s v="fmay"/>
    <x v="2"/>
    <x v="0"/>
    <x v="0"/>
    <d v="2025-04-02T00:00:00"/>
    <n v="116"/>
    <n v="0"/>
    <x v="0"/>
    <s v="Incomplete"/>
    <x v="1"/>
    <n v="11"/>
    <s v="No"/>
    <n v="2025"/>
    <n v="4"/>
    <n v="5.5955938697318004"/>
    <n v="0"/>
  </r>
  <r>
    <s v="S00241"/>
    <s v="P9330"/>
    <s v="susan69"/>
    <x v="3"/>
    <x v="0"/>
    <x v="4"/>
    <d v="2025-04-17T00:00:00"/>
    <n v="8"/>
    <n v="36.39"/>
    <x v="1"/>
    <s v="Completed"/>
    <x v="1"/>
    <n v="22"/>
    <s v="No"/>
    <n v="2025"/>
    <n v="4"/>
    <n v="5.6171153846153841"/>
    <n v="1"/>
  </r>
  <r>
    <s v="S00242"/>
    <s v="P7057"/>
    <s v="anthony60"/>
    <x v="1"/>
    <x v="0"/>
    <x v="3"/>
    <d v="2025-01-03T00:00:00"/>
    <n v="115"/>
    <n v="0"/>
    <x v="0"/>
    <s v="Completed"/>
    <x v="0"/>
    <n v="18"/>
    <s v="No"/>
    <n v="2025"/>
    <n v="1"/>
    <n v="5.4983011583011576"/>
    <n v="1"/>
  </r>
  <r>
    <s v="S00243"/>
    <s v="P5909"/>
    <s v="mercedesyoung"/>
    <x v="0"/>
    <x v="1"/>
    <x v="2"/>
    <d v="2025-05-26T00:00:00"/>
    <n v="144"/>
    <n v="0"/>
    <x v="0"/>
    <s v="Exited Early"/>
    <x v="0"/>
    <n v="18"/>
    <s v="No"/>
    <n v="2025"/>
    <n v="5"/>
    <n v="5.5196124031007745"/>
    <n v="0"/>
  </r>
  <r>
    <s v="S00244"/>
    <s v="P8810"/>
    <s v="tracy64"/>
    <x v="4"/>
    <x v="0"/>
    <x v="3"/>
    <d v="2025-04-02T00:00:00"/>
    <n v="175"/>
    <n v="7.47"/>
    <x v="4"/>
    <s v="Completed"/>
    <x v="1"/>
    <n v="17"/>
    <s v="Yes"/>
    <n v="2025"/>
    <n v="4"/>
    <n v="5.5410894941634234"/>
    <n v="1"/>
  </r>
  <r>
    <s v="S00245"/>
    <s v="P8881"/>
    <s v="carpenterjohn"/>
    <x v="2"/>
    <x v="1"/>
    <x v="1"/>
    <d v="2025-01-18T00:00:00"/>
    <n v="142"/>
    <n v="0"/>
    <x v="0"/>
    <s v="Completed"/>
    <x v="0"/>
    <n v="11"/>
    <s v="No"/>
    <n v="2025"/>
    <n v="1"/>
    <n v="5.5335546874999997"/>
    <n v="1"/>
  </r>
  <r>
    <s v="S00246"/>
    <s v="P4807"/>
    <s v="alexwilson"/>
    <x v="0"/>
    <x v="0"/>
    <x v="1"/>
    <d v="2025-01-18T00:00:00"/>
    <n v="154"/>
    <n v="0"/>
    <x v="0"/>
    <s v="Completed"/>
    <x v="0"/>
    <n v="8"/>
    <s v="Yes"/>
    <n v="2025"/>
    <n v="1"/>
    <n v="5.555254901960784"/>
    <n v="1"/>
  </r>
  <r>
    <s v="S00247"/>
    <s v="P3394"/>
    <s v="moyerdanny"/>
    <x v="2"/>
    <x v="1"/>
    <x v="5"/>
    <d v="2025-01-23T00:00:00"/>
    <n v="33"/>
    <n v="0"/>
    <x v="0"/>
    <s v="Completed"/>
    <x v="0"/>
    <n v="9"/>
    <s v="No"/>
    <n v="2025"/>
    <n v="1"/>
    <n v="5.5771259842519685"/>
    <n v="1"/>
  </r>
  <r>
    <s v="S00248"/>
    <s v="P2659"/>
    <s v="joshuasmith"/>
    <x v="2"/>
    <x v="1"/>
    <x v="5"/>
    <d v="2025-04-25T00:00:00"/>
    <n v="91"/>
    <n v="0"/>
    <x v="0"/>
    <s v="Exited Early"/>
    <x v="0"/>
    <n v="44"/>
    <s v="No"/>
    <n v="2025"/>
    <n v="4"/>
    <n v="5.5991699604743079"/>
    <n v="0"/>
  </r>
  <r>
    <s v="S00249"/>
    <s v="P3780"/>
    <s v="zacharygonzales"/>
    <x v="3"/>
    <x v="2"/>
    <x v="5"/>
    <d v="2025-01-27T00:00:00"/>
    <n v="36"/>
    <n v="0"/>
    <x v="0"/>
    <s v="Completed"/>
    <x v="0"/>
    <n v="36"/>
    <s v="No"/>
    <n v="2025"/>
    <n v="1"/>
    <n v="5.6213888888888883"/>
    <n v="1"/>
  </r>
  <r>
    <s v="S00250"/>
    <s v="P2357"/>
    <s v="coxlauren"/>
    <x v="0"/>
    <x v="1"/>
    <x v="3"/>
    <d v="2025-02-15T00:00:00"/>
    <n v="66"/>
    <n v="0"/>
    <x v="0"/>
    <s v="Incomplete"/>
    <x v="1"/>
    <n v="38"/>
    <s v="No"/>
    <n v="2025"/>
    <n v="2"/>
    <n v="5.6437848605577683"/>
    <n v="0"/>
  </r>
  <r>
    <s v="S00251"/>
    <s v="P6820"/>
    <s v="espinozajennifer"/>
    <x v="0"/>
    <x v="0"/>
    <x v="3"/>
    <d v="2025-02-03T00:00:00"/>
    <n v="38"/>
    <n v="30.6"/>
    <x v="2"/>
    <s v="Completed"/>
    <x v="1"/>
    <n v="27"/>
    <s v="No"/>
    <n v="2025"/>
    <n v="2"/>
    <n v="5.6663600000000001"/>
    <n v="1"/>
  </r>
  <r>
    <s v="S00252"/>
    <s v="P7067"/>
    <s v="jackbarnes"/>
    <x v="4"/>
    <x v="0"/>
    <x v="2"/>
    <d v="2024-12-13T00:00:00"/>
    <n v="177"/>
    <n v="0"/>
    <x v="0"/>
    <s v="Completed"/>
    <x v="0"/>
    <n v="25"/>
    <s v="Yes"/>
    <n v="2024"/>
    <n v="12"/>
    <n v="5.5662248995983932"/>
    <n v="1"/>
  </r>
  <r>
    <s v="S00253"/>
    <s v="P6499"/>
    <s v="juanjones"/>
    <x v="4"/>
    <x v="1"/>
    <x v="5"/>
    <d v="2024-12-13T00:00:00"/>
    <n v="133"/>
    <n v="8.0500000000000007"/>
    <x v="4"/>
    <s v="Completed"/>
    <x v="1"/>
    <n v="35"/>
    <s v="No"/>
    <n v="2024"/>
    <n v="12"/>
    <n v="5.5886693548387099"/>
    <n v="1"/>
  </r>
  <r>
    <s v="S00254"/>
    <s v="P5142"/>
    <s v="georgewarren"/>
    <x v="3"/>
    <x v="2"/>
    <x v="4"/>
    <d v="2025-04-17T00:00:00"/>
    <n v="116"/>
    <n v="0"/>
    <x v="0"/>
    <s v="Completed"/>
    <x v="0"/>
    <n v="40"/>
    <s v="No"/>
    <n v="2025"/>
    <n v="4"/>
    <n v="5.5787044534412962"/>
    <n v="1"/>
  </r>
  <r>
    <s v="S00255"/>
    <s v="P4616"/>
    <s v="danieldonaldson"/>
    <x v="4"/>
    <x v="2"/>
    <x v="5"/>
    <d v="2024-12-20T00:00:00"/>
    <n v="72"/>
    <n v="0"/>
    <x v="0"/>
    <s v="Completed"/>
    <x v="0"/>
    <n v="34"/>
    <s v="No"/>
    <n v="2024"/>
    <n v="12"/>
    <n v="5.6013821138211384"/>
    <n v="1"/>
  </r>
  <r>
    <s v="S00256"/>
    <s v="P7433"/>
    <s v="wsanders"/>
    <x v="4"/>
    <x v="0"/>
    <x v="5"/>
    <d v="2025-04-11T00:00:00"/>
    <n v="51"/>
    <n v="0"/>
    <x v="0"/>
    <s v="Completed"/>
    <x v="0"/>
    <n v="30"/>
    <s v="No"/>
    <n v="2025"/>
    <n v="4"/>
    <n v="5.6242448979591835"/>
    <n v="1"/>
  </r>
  <r>
    <s v="S00257"/>
    <s v="P8958"/>
    <s v="dunnmelissa"/>
    <x v="3"/>
    <x v="1"/>
    <x v="2"/>
    <d v="2025-01-24T00:00:00"/>
    <n v="19"/>
    <n v="0"/>
    <x v="0"/>
    <s v="Completed"/>
    <x v="0"/>
    <n v="6"/>
    <s v="No"/>
    <n v="2025"/>
    <n v="1"/>
    <n v="5.6472950819672132"/>
    <n v="1"/>
  </r>
  <r>
    <s v="S00258"/>
    <s v="P1212"/>
    <s v="hporter"/>
    <x v="1"/>
    <x v="1"/>
    <x v="4"/>
    <d v="2025-01-27T00:00:00"/>
    <n v="142"/>
    <n v="8.64"/>
    <x v="1"/>
    <s v="Crashed"/>
    <x v="1"/>
    <n v="25"/>
    <s v="No"/>
    <n v="2025"/>
    <n v="1"/>
    <n v="5.6705349794238682"/>
    <n v="0"/>
  </r>
  <r>
    <s v="S00259"/>
    <s v="P8750"/>
    <s v="garciaisabel"/>
    <x v="4"/>
    <x v="2"/>
    <x v="2"/>
    <d v="2025-04-06T00:00:00"/>
    <n v="31"/>
    <n v="0"/>
    <x v="0"/>
    <s v="Completed"/>
    <x v="0"/>
    <n v="49"/>
    <s v="No"/>
    <n v="2025"/>
    <n v="4"/>
    <n v="5.6582644628099183"/>
    <n v="1"/>
  </r>
  <r>
    <s v="S00260"/>
    <s v="P2956"/>
    <s v="rsuarez"/>
    <x v="1"/>
    <x v="0"/>
    <x v="1"/>
    <d v="2025-03-05T00:00:00"/>
    <n v="26"/>
    <n v="0"/>
    <x v="0"/>
    <s v="Completed"/>
    <x v="1"/>
    <n v="5"/>
    <s v="No"/>
    <n v="2025"/>
    <n v="3"/>
    <n v="5.6817427385892127"/>
    <n v="1"/>
  </r>
  <r>
    <s v="S00261"/>
    <s v="P7483"/>
    <s v="murrayaaron"/>
    <x v="1"/>
    <x v="0"/>
    <x v="0"/>
    <d v="2025-06-07T00:00:00"/>
    <n v="144"/>
    <n v="40.29"/>
    <x v="2"/>
    <s v="Exited Early"/>
    <x v="1"/>
    <n v="1"/>
    <s v="Yes"/>
    <n v="2025"/>
    <n v="6"/>
    <n v="5.7054166666666672"/>
    <n v="0"/>
  </r>
  <r>
    <s v="S00262"/>
    <s v="P3905"/>
    <s v="stephen73"/>
    <x v="4"/>
    <x v="2"/>
    <x v="2"/>
    <d v="2025-04-11T00:00:00"/>
    <n v="6"/>
    <n v="0"/>
    <x v="0"/>
    <s v="Completed"/>
    <x v="0"/>
    <n v="7"/>
    <s v="No"/>
    <n v="2025"/>
    <n v="4"/>
    <n v="5.5607112970711308"/>
    <n v="1"/>
  </r>
  <r>
    <s v="S00263"/>
    <s v="P2082"/>
    <s v="iadkins"/>
    <x v="1"/>
    <x v="0"/>
    <x v="2"/>
    <d v="2025-05-27T00:00:00"/>
    <n v="176"/>
    <n v="44.39"/>
    <x v="3"/>
    <s v="Completed"/>
    <x v="1"/>
    <n v="18"/>
    <s v="Yes"/>
    <n v="2025"/>
    <n v="5"/>
    <n v="5.5840756302521015"/>
    <n v="1"/>
  </r>
  <r>
    <s v="S00264"/>
    <s v="P6567"/>
    <s v="smithshawn"/>
    <x v="0"/>
    <x v="2"/>
    <x v="0"/>
    <d v="2024-12-24T00:00:00"/>
    <n v="175"/>
    <n v="0"/>
    <x v="0"/>
    <s v="Incomplete"/>
    <x v="0"/>
    <n v="22"/>
    <s v="Yes"/>
    <n v="2024"/>
    <n v="12"/>
    <n v="5.420337552742617"/>
    <n v="0"/>
  </r>
  <r>
    <s v="S00265"/>
    <s v="P2068"/>
    <s v="vanessasmith"/>
    <x v="2"/>
    <x v="1"/>
    <x v="4"/>
    <d v="2025-01-23T00:00:00"/>
    <n v="131"/>
    <n v="0"/>
    <x v="0"/>
    <s v="Crashed"/>
    <x v="0"/>
    <n v="3"/>
    <s v="No"/>
    <n v="2025"/>
    <n v="1"/>
    <n v="5.4433050847457629"/>
    <n v="0"/>
  </r>
  <r>
    <s v="S00266"/>
    <s v="P4801"/>
    <s v="annaroy"/>
    <x v="3"/>
    <x v="1"/>
    <x v="5"/>
    <d v="2025-04-21T00:00:00"/>
    <n v="17"/>
    <n v="0"/>
    <x v="0"/>
    <s v="Completed"/>
    <x v="1"/>
    <n v="37"/>
    <s v="No"/>
    <n v="2025"/>
    <n v="4"/>
    <n v="5.4664680851063832"/>
    <n v="1"/>
  </r>
  <r>
    <s v="S00267"/>
    <s v="P9642"/>
    <s v="dfloyd"/>
    <x v="4"/>
    <x v="1"/>
    <x v="0"/>
    <d v="2025-06-02T00:00:00"/>
    <n v="128"/>
    <n v="0"/>
    <x v="0"/>
    <s v="Completed"/>
    <x v="0"/>
    <n v="15"/>
    <s v="No"/>
    <n v="2025"/>
    <n v="6"/>
    <n v="5.4898290598290602"/>
    <n v="1"/>
  </r>
  <r>
    <s v="S00268"/>
    <s v="P4625"/>
    <s v="maryrodriguez"/>
    <x v="4"/>
    <x v="2"/>
    <x v="2"/>
    <d v="2025-05-03T00:00:00"/>
    <n v="39"/>
    <n v="0"/>
    <x v="0"/>
    <s v="Completed"/>
    <x v="0"/>
    <n v="18"/>
    <s v="No"/>
    <n v="2025"/>
    <n v="5"/>
    <n v="5.5133905579399149"/>
    <n v="1"/>
  </r>
  <r>
    <s v="S00269"/>
    <s v="P3615"/>
    <s v="tamarafowler"/>
    <x v="1"/>
    <x v="1"/>
    <x v="0"/>
    <d v="2025-05-17T00:00:00"/>
    <n v="122"/>
    <n v="0"/>
    <x v="0"/>
    <s v="Completed"/>
    <x v="0"/>
    <n v="28"/>
    <s v="No"/>
    <n v="2025"/>
    <n v="5"/>
    <n v="5.5371551724137937"/>
    <n v="1"/>
  </r>
  <r>
    <s v="S00270"/>
    <s v="P9094"/>
    <s v="nsmith"/>
    <x v="3"/>
    <x v="2"/>
    <x v="5"/>
    <d v="2025-01-16T00:00:00"/>
    <n v="15"/>
    <n v="0"/>
    <x v="0"/>
    <s v="Completed"/>
    <x v="1"/>
    <n v="47"/>
    <s v="No"/>
    <n v="2025"/>
    <n v="1"/>
    <n v="5.5611255411255414"/>
    <n v="1"/>
  </r>
  <r>
    <s v="S00271"/>
    <s v="P7072"/>
    <s v="matthew23"/>
    <x v="1"/>
    <x v="0"/>
    <x v="2"/>
    <d v="2025-04-11T00:00:00"/>
    <n v="166"/>
    <n v="47.72"/>
    <x v="4"/>
    <s v="Completed"/>
    <x v="1"/>
    <n v="40"/>
    <s v="Yes"/>
    <n v="2025"/>
    <n v="4"/>
    <n v="5.5853043478260878"/>
    <n v="1"/>
  </r>
  <r>
    <s v="S00272"/>
    <s v="P4911"/>
    <s v="mmorgan"/>
    <x v="2"/>
    <x v="2"/>
    <x v="2"/>
    <d v="2025-03-05T00:00:00"/>
    <n v="91"/>
    <n v="45.51"/>
    <x v="4"/>
    <s v="Completed"/>
    <x v="1"/>
    <n v="8"/>
    <s v="Yes"/>
    <n v="2025"/>
    <n v="3"/>
    <n v="5.4013100436681221"/>
    <n v="1"/>
  </r>
  <r>
    <s v="S00273"/>
    <s v="P5122"/>
    <s v="ronaldkennedy"/>
    <x v="0"/>
    <x v="2"/>
    <x v="2"/>
    <d v="2025-04-23T00:00:00"/>
    <n v="52"/>
    <n v="0"/>
    <x v="0"/>
    <s v="Completed"/>
    <x v="0"/>
    <n v="3"/>
    <s v="No"/>
    <n v="2025"/>
    <n v="4"/>
    <n v="5.2253947368421043"/>
    <n v="1"/>
  </r>
  <r>
    <s v="S00274"/>
    <s v="P4950"/>
    <s v="megan08"/>
    <x v="4"/>
    <x v="2"/>
    <x v="2"/>
    <d v="2025-01-13T00:00:00"/>
    <n v="130"/>
    <n v="0"/>
    <x v="0"/>
    <s v="Completed"/>
    <x v="0"/>
    <n v="49"/>
    <s v="No"/>
    <n v="2025"/>
    <n v="1"/>
    <n v="5.2484140969162993"/>
    <n v="1"/>
  </r>
  <r>
    <s v="S00275"/>
    <s v="P7472"/>
    <s v="kcook"/>
    <x v="4"/>
    <x v="1"/>
    <x v="1"/>
    <d v="2025-04-03T00:00:00"/>
    <n v="87"/>
    <n v="0"/>
    <x v="0"/>
    <s v="Completed"/>
    <x v="0"/>
    <n v="33"/>
    <s v="No"/>
    <n v="2025"/>
    <n v="4"/>
    <n v="5.2716371681415923"/>
    <n v="1"/>
  </r>
  <r>
    <s v="S00276"/>
    <s v="P2232"/>
    <s v="donovantrevor"/>
    <x v="1"/>
    <x v="2"/>
    <x v="2"/>
    <d v="2025-03-22T00:00:00"/>
    <n v="71"/>
    <n v="0"/>
    <x v="0"/>
    <s v="Completed"/>
    <x v="0"/>
    <n v="38"/>
    <s v="No"/>
    <n v="2025"/>
    <n v="3"/>
    <n v="5.2950666666666661"/>
    <n v="1"/>
  </r>
  <r>
    <s v="S00277"/>
    <s v="P8649"/>
    <s v="melanie33"/>
    <x v="1"/>
    <x v="1"/>
    <x v="2"/>
    <d v="2025-03-19T00:00:00"/>
    <n v="63"/>
    <n v="0"/>
    <x v="0"/>
    <s v="Completed"/>
    <x v="0"/>
    <n v="49"/>
    <s v="No"/>
    <n v="2025"/>
    <n v="3"/>
    <n v="5.3187053571428562"/>
    <n v="1"/>
  </r>
  <r>
    <s v="S00278"/>
    <s v="P7465"/>
    <s v="foxdawn"/>
    <x v="1"/>
    <x v="0"/>
    <x v="2"/>
    <d v="2025-03-28T00:00:00"/>
    <n v="175"/>
    <n v="0"/>
    <x v="0"/>
    <s v="Crashed"/>
    <x v="0"/>
    <n v="33"/>
    <s v="Yes"/>
    <n v="2025"/>
    <n v="3"/>
    <n v="5.3425560538116583"/>
    <n v="0"/>
  </r>
  <r>
    <s v="S00279"/>
    <s v="P8384"/>
    <s v="walkernathan"/>
    <x v="4"/>
    <x v="2"/>
    <x v="4"/>
    <d v="2025-02-02T00:00:00"/>
    <n v="91"/>
    <n v="0"/>
    <x v="0"/>
    <s v="Completed"/>
    <x v="0"/>
    <n v="22"/>
    <s v="No"/>
    <n v="2025"/>
    <n v="2"/>
    <n v="5.3666216216216212"/>
    <n v="1"/>
  </r>
  <r>
    <s v="S00280"/>
    <s v="P9835"/>
    <s v="leslie88"/>
    <x v="0"/>
    <x v="0"/>
    <x v="2"/>
    <d v="2025-02-20T00:00:00"/>
    <n v="127"/>
    <n v="40.21"/>
    <x v="3"/>
    <s v="Completed"/>
    <x v="1"/>
    <n v="38"/>
    <s v="Yes"/>
    <n v="2025"/>
    <n v="2"/>
    <n v="5.3909049773755653"/>
    <n v="1"/>
  </r>
  <r>
    <s v="S00281"/>
    <s v="P5712"/>
    <s v="brandon14"/>
    <x v="1"/>
    <x v="0"/>
    <x v="3"/>
    <d v="2025-01-14T00:00:00"/>
    <n v="179"/>
    <n v="0"/>
    <x v="0"/>
    <s v="Completed"/>
    <x v="1"/>
    <n v="34"/>
    <s v="Yes"/>
    <n v="2025"/>
    <n v="1"/>
    <n v="5.232636363636364"/>
    <n v="1"/>
  </r>
  <r>
    <s v="S00282"/>
    <s v="P7701"/>
    <s v="carmenbutler"/>
    <x v="2"/>
    <x v="1"/>
    <x v="1"/>
    <d v="2025-03-11T00:00:00"/>
    <n v="160"/>
    <n v="0"/>
    <x v="0"/>
    <s v="Completed"/>
    <x v="0"/>
    <n v="1"/>
    <s v="Yes"/>
    <n v="2025"/>
    <n v="3"/>
    <n v="5.256529680365297"/>
    <n v="1"/>
  </r>
  <r>
    <s v="S00283"/>
    <s v="P7004"/>
    <s v="monicaharris"/>
    <x v="0"/>
    <x v="2"/>
    <x v="5"/>
    <d v="2025-04-15T00:00:00"/>
    <n v="175"/>
    <n v="0"/>
    <x v="0"/>
    <s v="Completed"/>
    <x v="0"/>
    <n v="1"/>
    <s v="Yes"/>
    <n v="2025"/>
    <n v="4"/>
    <n v="5.2806422018348629"/>
    <n v="1"/>
  </r>
  <r>
    <s v="S00284"/>
    <s v="P4597"/>
    <s v="john69"/>
    <x v="2"/>
    <x v="2"/>
    <x v="2"/>
    <d v="2025-02-20T00:00:00"/>
    <n v="112"/>
    <n v="13.89"/>
    <x v="3"/>
    <s v="Crashed"/>
    <x v="1"/>
    <n v="25"/>
    <s v="No"/>
    <n v="2025"/>
    <n v="2"/>
    <n v="5.3049769585253461"/>
    <n v="0"/>
  </r>
  <r>
    <s v="S00285"/>
    <s v="P3464"/>
    <s v="ryan43"/>
    <x v="0"/>
    <x v="0"/>
    <x v="3"/>
    <d v="2025-06-03T00:00:00"/>
    <n v="85"/>
    <n v="0"/>
    <x v="0"/>
    <s v="Exited Early"/>
    <x v="0"/>
    <n v="24"/>
    <s v="No"/>
    <n v="2025"/>
    <n v="6"/>
    <n v="5.2652314814814813"/>
    <n v="0"/>
  </r>
  <r>
    <s v="S00286"/>
    <s v="P1653"/>
    <s v="jeffreybaker"/>
    <x v="3"/>
    <x v="2"/>
    <x v="3"/>
    <d v="2025-01-07T00:00:00"/>
    <n v="16"/>
    <n v="0"/>
    <x v="0"/>
    <s v="Crashed"/>
    <x v="0"/>
    <n v="6"/>
    <s v="No"/>
    <n v="2025"/>
    <n v="1"/>
    <n v="5.2897209302325576"/>
    <n v="0"/>
  </r>
  <r>
    <s v="S00287"/>
    <s v="P8328"/>
    <s v="floresnatalie"/>
    <x v="3"/>
    <x v="2"/>
    <x v="2"/>
    <d v="2025-02-16T00:00:00"/>
    <n v="80"/>
    <n v="0"/>
    <x v="0"/>
    <s v="Completed"/>
    <x v="0"/>
    <n v="16"/>
    <s v="No"/>
    <n v="2025"/>
    <n v="2"/>
    <n v="5.3144392523364488"/>
    <n v="1"/>
  </r>
  <r>
    <s v="S00288"/>
    <s v="P8167"/>
    <s v="tyler13"/>
    <x v="0"/>
    <x v="1"/>
    <x v="1"/>
    <d v="2025-03-30T00:00:00"/>
    <n v="69"/>
    <n v="0"/>
    <x v="0"/>
    <s v="Incomplete"/>
    <x v="1"/>
    <n v="17"/>
    <s v="No"/>
    <n v="2025"/>
    <n v="3"/>
    <n v="5.3393896713615021"/>
    <n v="0"/>
  </r>
  <r>
    <s v="S00289"/>
    <s v="P6334"/>
    <s v="erictrujillo"/>
    <x v="2"/>
    <x v="0"/>
    <x v="1"/>
    <d v="2025-03-03T00:00:00"/>
    <n v="25"/>
    <n v="0"/>
    <x v="0"/>
    <s v="Completed"/>
    <x v="0"/>
    <n v="34"/>
    <s v="No"/>
    <n v="2025"/>
    <n v="3"/>
    <n v="5.3645754716981129"/>
    <n v="1"/>
  </r>
  <r>
    <s v="S00290"/>
    <s v="P4420"/>
    <s v="wanda82"/>
    <x v="3"/>
    <x v="2"/>
    <x v="5"/>
    <d v="2024-12-26T00:00:00"/>
    <n v="154"/>
    <n v="0"/>
    <x v="0"/>
    <s v="Completed"/>
    <x v="1"/>
    <n v="14"/>
    <s v="Yes"/>
    <n v="2024"/>
    <n v="12"/>
    <n v="5.39"/>
    <n v="1"/>
  </r>
  <r>
    <s v="S00291"/>
    <s v="P6223"/>
    <s v="raymondjenna"/>
    <x v="2"/>
    <x v="2"/>
    <x v="3"/>
    <d v="2025-04-24T00:00:00"/>
    <n v="66"/>
    <n v="0"/>
    <x v="0"/>
    <s v="Exited Early"/>
    <x v="0"/>
    <n v="4"/>
    <s v="No"/>
    <n v="2025"/>
    <n v="4"/>
    <n v="5.4156666666666666"/>
    <n v="0"/>
  </r>
  <r>
    <s v="S00292"/>
    <s v="P2113"/>
    <s v="cassandrarice"/>
    <x v="1"/>
    <x v="0"/>
    <x v="2"/>
    <d v="2025-05-20T00:00:00"/>
    <n v="164"/>
    <n v="14.33"/>
    <x v="4"/>
    <s v="Completed"/>
    <x v="1"/>
    <n v="4"/>
    <s v="Yes"/>
    <n v="2025"/>
    <n v="5"/>
    <n v="5.4415789473684208"/>
    <n v="1"/>
  </r>
  <r>
    <s v="S00293"/>
    <s v="P6122"/>
    <s v="browndenise"/>
    <x v="4"/>
    <x v="0"/>
    <x v="0"/>
    <d v="2025-06-03T00:00:00"/>
    <n v="9"/>
    <n v="0"/>
    <x v="0"/>
    <s v="Completed"/>
    <x v="0"/>
    <n v="10"/>
    <s v="No"/>
    <n v="2025"/>
    <n v="6"/>
    <n v="5.3988461538461543"/>
    <n v="1"/>
  </r>
  <r>
    <s v="S00294"/>
    <s v="P2984"/>
    <s v="jenniferrollins"/>
    <x v="0"/>
    <x v="1"/>
    <x v="0"/>
    <d v="2025-05-11T00:00:00"/>
    <n v="31"/>
    <n v="0"/>
    <x v="0"/>
    <s v="Crashed"/>
    <x v="0"/>
    <n v="23"/>
    <s v="No"/>
    <n v="2025"/>
    <n v="5"/>
    <n v="5.4249275362318841"/>
    <n v="0"/>
  </r>
  <r>
    <s v="S00295"/>
    <s v="P8996"/>
    <s v="sbrown"/>
    <x v="4"/>
    <x v="1"/>
    <x v="1"/>
    <d v="2025-01-12T00:00:00"/>
    <n v="61"/>
    <n v="0"/>
    <x v="0"/>
    <s v="Completed"/>
    <x v="0"/>
    <n v="30"/>
    <s v="No"/>
    <n v="2025"/>
    <n v="1"/>
    <n v="5.4512621359223301"/>
    <n v="1"/>
  </r>
  <r>
    <s v="S00296"/>
    <s v="P1051"/>
    <s v="kevin42"/>
    <x v="4"/>
    <x v="2"/>
    <x v="4"/>
    <d v="2025-03-03T00:00:00"/>
    <n v="178"/>
    <n v="0"/>
    <x v="0"/>
    <s v="Completed"/>
    <x v="0"/>
    <n v="30"/>
    <s v="Yes"/>
    <n v="2025"/>
    <n v="3"/>
    <n v="5.4778536585365858"/>
    <n v="1"/>
  </r>
  <r>
    <s v="S00297"/>
    <s v="P2001"/>
    <s v="yrichardson"/>
    <x v="0"/>
    <x v="2"/>
    <x v="0"/>
    <d v="2025-05-05T00:00:00"/>
    <n v="68"/>
    <n v="0"/>
    <x v="0"/>
    <s v="Completed"/>
    <x v="0"/>
    <n v="21"/>
    <s v="No"/>
    <n v="2025"/>
    <n v="5"/>
    <n v="5.5047058823529413"/>
    <n v="1"/>
  </r>
  <r>
    <s v="S00298"/>
    <s v="P1898"/>
    <s v="yperez"/>
    <x v="2"/>
    <x v="2"/>
    <x v="0"/>
    <d v="2024-12-18T00:00:00"/>
    <n v="174"/>
    <n v="0"/>
    <x v="0"/>
    <s v="Exited Early"/>
    <x v="0"/>
    <n v="50"/>
    <s v="Yes"/>
    <n v="2024"/>
    <n v="12"/>
    <n v="5.5318226600985225"/>
    <n v="0"/>
  </r>
  <r>
    <s v="S00299"/>
    <s v="P2792"/>
    <s v="rileyjohn"/>
    <x v="2"/>
    <x v="1"/>
    <x v="4"/>
    <d v="2025-02-17T00:00:00"/>
    <n v="42"/>
    <n v="0"/>
    <x v="0"/>
    <s v="Completed"/>
    <x v="0"/>
    <n v="15"/>
    <s v="No"/>
    <n v="2025"/>
    <n v="2"/>
    <n v="5.5592079207920797"/>
    <n v="1"/>
  </r>
  <r>
    <s v="S00300"/>
    <s v="P8477"/>
    <s v="smallalice"/>
    <x v="1"/>
    <x v="0"/>
    <x v="0"/>
    <d v="2025-01-07T00:00:00"/>
    <n v="90"/>
    <n v="0"/>
    <x v="0"/>
    <s v="Exited Early"/>
    <x v="0"/>
    <n v="3"/>
    <s v="No"/>
    <n v="2025"/>
    <n v="1"/>
    <n v="5.5868656716417915"/>
    <n v="0"/>
  </r>
  <r>
    <s v="S00301"/>
    <s v="P1529"/>
    <s v="nicole11"/>
    <x v="4"/>
    <x v="1"/>
    <x v="1"/>
    <d v="2025-02-20T00:00:00"/>
    <n v="70"/>
    <n v="19.62"/>
    <x v="4"/>
    <s v="Completed"/>
    <x v="1"/>
    <n v="47"/>
    <s v="No"/>
    <n v="2025"/>
    <n v="2"/>
    <n v="5.6147999999999998"/>
    <n v="1"/>
  </r>
  <r>
    <s v="S00302"/>
    <s v="P5078"/>
    <s v="elizabeth99"/>
    <x v="3"/>
    <x v="1"/>
    <x v="2"/>
    <d v="2025-04-01T00:00:00"/>
    <n v="93"/>
    <n v="0"/>
    <x v="0"/>
    <s v="Completed"/>
    <x v="0"/>
    <n v="47"/>
    <s v="No"/>
    <n v="2025"/>
    <n v="4"/>
    <n v="5.5444221105527633"/>
    <n v="1"/>
  </r>
  <r>
    <s v="S00303"/>
    <s v="P8482"/>
    <s v="hornjoshua"/>
    <x v="0"/>
    <x v="2"/>
    <x v="0"/>
    <d v="2025-05-24T00:00:00"/>
    <n v="155"/>
    <n v="31.24"/>
    <x v="3"/>
    <s v="Completed"/>
    <x v="1"/>
    <n v="33"/>
    <s v="Yes"/>
    <n v="2025"/>
    <n v="5"/>
    <n v="5.5724242424242423"/>
    <n v="1"/>
  </r>
  <r>
    <s v="S00304"/>
    <s v="P1757"/>
    <s v="thomas29"/>
    <x v="3"/>
    <x v="1"/>
    <x v="2"/>
    <d v="2025-05-08T00:00:00"/>
    <n v="122"/>
    <n v="40.31"/>
    <x v="3"/>
    <s v="Completed"/>
    <x v="1"/>
    <n v="33"/>
    <s v="Yes"/>
    <n v="2025"/>
    <n v="5"/>
    <n v="5.4421319796954313"/>
    <n v="1"/>
  </r>
  <r>
    <s v="S00305"/>
    <s v="P2330"/>
    <s v="davidmendoza"/>
    <x v="4"/>
    <x v="0"/>
    <x v="2"/>
    <d v="2025-03-03T00:00:00"/>
    <n v="62"/>
    <n v="0"/>
    <x v="0"/>
    <s v="Incomplete"/>
    <x v="0"/>
    <n v="19"/>
    <s v="No"/>
    <n v="2025"/>
    <n v="3"/>
    <n v="5.2642346938775511"/>
    <n v="0"/>
  </r>
  <r>
    <s v="S00306"/>
    <s v="P2906"/>
    <s v="jacob24"/>
    <x v="4"/>
    <x v="2"/>
    <x v="0"/>
    <d v="2025-05-17T00:00:00"/>
    <n v="31"/>
    <n v="0"/>
    <x v="0"/>
    <s v="Completed"/>
    <x v="0"/>
    <n v="18"/>
    <s v="No"/>
    <n v="2025"/>
    <n v="5"/>
    <n v="5.2912307692307694"/>
    <n v="1"/>
  </r>
  <r>
    <s v="S00307"/>
    <s v="P9068"/>
    <s v="nthompson"/>
    <x v="0"/>
    <x v="1"/>
    <x v="3"/>
    <d v="2025-04-12T00:00:00"/>
    <n v="109"/>
    <n v="0"/>
    <x v="0"/>
    <s v="Completed"/>
    <x v="0"/>
    <n v="40"/>
    <s v="No"/>
    <n v="2025"/>
    <n v="4"/>
    <n v="5.3185051546391753"/>
    <n v="1"/>
  </r>
  <r>
    <s v="S00308"/>
    <s v="P6026"/>
    <s v="ogarcia"/>
    <x v="2"/>
    <x v="0"/>
    <x v="0"/>
    <d v="2025-02-20T00:00:00"/>
    <n v="178"/>
    <n v="38.369999999999997"/>
    <x v="3"/>
    <s v="Completed"/>
    <x v="1"/>
    <n v="32"/>
    <s v="Yes"/>
    <n v="2025"/>
    <n v="2"/>
    <n v="5.3460621761658027"/>
    <n v="1"/>
  </r>
  <r>
    <s v="S00309"/>
    <s v="P8611"/>
    <s v="cheyennebenton"/>
    <x v="0"/>
    <x v="1"/>
    <x v="3"/>
    <d v="2025-01-09T00:00:00"/>
    <n v="34"/>
    <n v="0"/>
    <x v="0"/>
    <s v="Completed"/>
    <x v="0"/>
    <n v="12"/>
    <s v="No"/>
    <n v="2025"/>
    <n v="1"/>
    <n v="5.1740625000000007"/>
    <n v="1"/>
  </r>
  <r>
    <s v="S00310"/>
    <s v="P5092"/>
    <s v="owenssherry"/>
    <x v="3"/>
    <x v="0"/>
    <x v="0"/>
    <d v="2025-06-04T00:00:00"/>
    <n v="139"/>
    <n v="0"/>
    <x v="0"/>
    <s v="Completed"/>
    <x v="0"/>
    <n v="1"/>
    <s v="No"/>
    <n v="2025"/>
    <n v="6"/>
    <n v="5.2011518324607335"/>
    <n v="1"/>
  </r>
  <r>
    <s v="S00311"/>
    <s v="P6038"/>
    <s v="tbarker"/>
    <x v="0"/>
    <x v="1"/>
    <x v="3"/>
    <d v="2025-01-25T00:00:00"/>
    <n v="81"/>
    <n v="0"/>
    <x v="0"/>
    <s v="Incomplete"/>
    <x v="0"/>
    <n v="21"/>
    <s v="No"/>
    <n v="2025"/>
    <n v="1"/>
    <n v="5.228526315789475"/>
    <n v="0"/>
  </r>
  <r>
    <s v="S00312"/>
    <s v="P5060"/>
    <s v="fmason"/>
    <x v="0"/>
    <x v="1"/>
    <x v="4"/>
    <d v="2024-12-21T00:00:00"/>
    <n v="13"/>
    <n v="0"/>
    <x v="0"/>
    <s v="Completed"/>
    <x v="0"/>
    <n v="12"/>
    <s v="No"/>
    <n v="2024"/>
    <n v="12"/>
    <n v="5.2561904761904774"/>
    <n v="1"/>
  </r>
  <r>
    <s v="S00313"/>
    <s v="P9354"/>
    <s v="jameswanda"/>
    <x v="0"/>
    <x v="2"/>
    <x v="5"/>
    <d v="2025-01-07T00:00:00"/>
    <n v="85"/>
    <n v="0"/>
    <x v="0"/>
    <s v="Completed"/>
    <x v="0"/>
    <n v="28"/>
    <s v="No"/>
    <n v="2025"/>
    <n v="1"/>
    <n v="5.2841489361702134"/>
    <n v="1"/>
  </r>
  <r>
    <s v="S00314"/>
    <s v="P6556"/>
    <s v="dennis63"/>
    <x v="2"/>
    <x v="0"/>
    <x v="4"/>
    <d v="2025-03-11T00:00:00"/>
    <n v="158"/>
    <n v="0"/>
    <x v="0"/>
    <s v="Crashed"/>
    <x v="0"/>
    <n v="22"/>
    <s v="Yes"/>
    <n v="2025"/>
    <n v="3"/>
    <n v="5.3124064171123004"/>
    <n v="0"/>
  </r>
  <r>
    <s v="S00315"/>
    <s v="P6685"/>
    <s v="coreyperez"/>
    <x v="0"/>
    <x v="0"/>
    <x v="2"/>
    <d v="2025-04-29T00:00:00"/>
    <n v="140"/>
    <n v="0"/>
    <x v="0"/>
    <s v="Completed"/>
    <x v="0"/>
    <n v="1"/>
    <s v="No"/>
    <n v="2025"/>
    <n v="4"/>
    <n v="5.3409677419354846"/>
    <n v="1"/>
  </r>
  <r>
    <s v="S00316"/>
    <s v="P3050"/>
    <s v="gonzalezcindy"/>
    <x v="3"/>
    <x v="2"/>
    <x v="5"/>
    <d v="2025-03-31T00:00:00"/>
    <n v="179"/>
    <n v="0"/>
    <x v="0"/>
    <s v="Completed"/>
    <x v="0"/>
    <n v="5"/>
    <s v="Yes"/>
    <n v="2025"/>
    <n v="3"/>
    <n v="5.3698378378378386"/>
    <n v="1"/>
  </r>
  <r>
    <s v="S00317"/>
    <s v="P2939"/>
    <s v="millersarah"/>
    <x v="2"/>
    <x v="2"/>
    <x v="4"/>
    <d v="2025-01-09T00:00:00"/>
    <n v="73"/>
    <n v="0"/>
    <x v="0"/>
    <s v="Incomplete"/>
    <x v="0"/>
    <n v="15"/>
    <s v="No"/>
    <n v="2025"/>
    <n v="1"/>
    <n v="5.3990217391304354"/>
    <n v="0"/>
  </r>
  <r>
    <s v="S00318"/>
    <s v="P4946"/>
    <s v="thompsontodd"/>
    <x v="4"/>
    <x v="2"/>
    <x v="0"/>
    <d v="2025-03-31T00:00:00"/>
    <n v="83"/>
    <n v="0"/>
    <x v="0"/>
    <s v="Completed"/>
    <x v="0"/>
    <n v="1"/>
    <s v="No"/>
    <n v="2025"/>
    <n v="3"/>
    <n v="5.4285245901639358"/>
    <n v="1"/>
  </r>
  <r>
    <s v="S00319"/>
    <s v="P2067"/>
    <s v="waltersnicholas"/>
    <x v="1"/>
    <x v="2"/>
    <x v="2"/>
    <d v="2025-01-21T00:00:00"/>
    <n v="152"/>
    <n v="0"/>
    <x v="0"/>
    <s v="Completed"/>
    <x v="0"/>
    <n v="31"/>
    <s v="Yes"/>
    <n v="2025"/>
    <n v="1"/>
    <n v="5.4583516483516492"/>
    <n v="1"/>
  </r>
  <r>
    <s v="S00320"/>
    <s v="P1338"/>
    <s v="hharris"/>
    <x v="0"/>
    <x v="2"/>
    <x v="1"/>
    <d v="2025-01-31T00:00:00"/>
    <n v="156"/>
    <n v="0"/>
    <x v="0"/>
    <s v="Crashed"/>
    <x v="0"/>
    <n v="14"/>
    <s v="Yes"/>
    <n v="2025"/>
    <n v="1"/>
    <n v="5.4885082872928184"/>
    <n v="0"/>
  </r>
  <r>
    <s v="S00321"/>
    <s v="P3964"/>
    <s v="kristopheralvarez"/>
    <x v="1"/>
    <x v="1"/>
    <x v="5"/>
    <d v="2025-05-11T00:00:00"/>
    <n v="33"/>
    <n v="0"/>
    <x v="0"/>
    <s v="Crashed"/>
    <x v="0"/>
    <n v="7"/>
    <s v="No"/>
    <n v="2025"/>
    <n v="5"/>
    <n v="5.519000000000001"/>
    <n v="0"/>
  </r>
  <r>
    <s v="S00322"/>
    <s v="P6010"/>
    <s v="emilyking"/>
    <x v="0"/>
    <x v="2"/>
    <x v="4"/>
    <d v="2025-01-21T00:00:00"/>
    <n v="128"/>
    <n v="0"/>
    <x v="0"/>
    <s v="Completed"/>
    <x v="0"/>
    <n v="35"/>
    <s v="No"/>
    <n v="2025"/>
    <n v="1"/>
    <n v="5.5498324022346379"/>
    <n v="1"/>
  </r>
  <r>
    <s v="S00323"/>
    <s v="P7890"/>
    <s v="bobbyanderson"/>
    <x v="0"/>
    <x v="1"/>
    <x v="4"/>
    <d v="2025-02-06T00:00:00"/>
    <n v="58"/>
    <n v="0"/>
    <x v="0"/>
    <s v="Incomplete"/>
    <x v="0"/>
    <n v="15"/>
    <s v="No"/>
    <n v="2025"/>
    <n v="2"/>
    <n v="5.5810112359550574"/>
    <n v="0"/>
  </r>
  <r>
    <s v="S00324"/>
    <s v="P5731"/>
    <s v="erinhansen"/>
    <x v="2"/>
    <x v="1"/>
    <x v="4"/>
    <d v="2024-12-21T00:00:00"/>
    <n v="77"/>
    <n v="0"/>
    <x v="0"/>
    <s v="Completed"/>
    <x v="0"/>
    <n v="11"/>
    <s v="No"/>
    <n v="2024"/>
    <n v="12"/>
    <n v="5.6125423728813573"/>
    <n v="1"/>
  </r>
  <r>
    <s v="S00325"/>
    <s v="P2254"/>
    <s v="gerald82"/>
    <x v="3"/>
    <x v="0"/>
    <x v="4"/>
    <d v="2024-12-15T00:00:00"/>
    <n v="175"/>
    <n v="0"/>
    <x v="0"/>
    <s v="Crashed"/>
    <x v="1"/>
    <n v="10"/>
    <s v="Yes"/>
    <n v="2024"/>
    <n v="12"/>
    <n v="5.6444318181818192"/>
    <n v="0"/>
  </r>
  <r>
    <s v="S00326"/>
    <s v="P2231"/>
    <s v="jeffreyjimenez"/>
    <x v="3"/>
    <x v="2"/>
    <x v="2"/>
    <d v="2025-03-11T00:00:00"/>
    <n v="90"/>
    <n v="0"/>
    <x v="0"/>
    <s v="Completed"/>
    <x v="0"/>
    <n v="50"/>
    <s v="No"/>
    <n v="2025"/>
    <n v="3"/>
    <n v="5.676685714285715"/>
    <n v="1"/>
  </r>
  <r>
    <s v="S00327"/>
    <s v="P2736"/>
    <s v="lcase"/>
    <x v="4"/>
    <x v="1"/>
    <x v="1"/>
    <d v="2025-05-16T00:00:00"/>
    <n v="142"/>
    <n v="0"/>
    <x v="0"/>
    <s v="Incomplete"/>
    <x v="0"/>
    <n v="49"/>
    <s v="No"/>
    <n v="2025"/>
    <n v="5"/>
    <n v="5.7093103448275873"/>
    <n v="0"/>
  </r>
  <r>
    <s v="S00328"/>
    <s v="P3118"/>
    <s v="jonathan53"/>
    <x v="1"/>
    <x v="2"/>
    <x v="5"/>
    <d v="2025-05-24T00:00:00"/>
    <n v="102"/>
    <n v="0"/>
    <x v="0"/>
    <s v="Completed"/>
    <x v="1"/>
    <n v="44"/>
    <s v="No"/>
    <n v="2025"/>
    <n v="5"/>
    <n v="5.7423121387283249"/>
    <n v="1"/>
  </r>
  <r>
    <s v="S00329"/>
    <s v="P3169"/>
    <s v="ethankaufman"/>
    <x v="0"/>
    <x v="1"/>
    <x v="2"/>
    <d v="2025-03-21T00:00:00"/>
    <n v="47"/>
    <n v="0"/>
    <x v="0"/>
    <s v="Completed"/>
    <x v="1"/>
    <n v="49"/>
    <s v="No"/>
    <n v="2025"/>
    <n v="3"/>
    <n v="5.7756976744186055"/>
    <n v="1"/>
  </r>
  <r>
    <s v="S00330"/>
    <s v="P6447"/>
    <s v="jessica34"/>
    <x v="0"/>
    <x v="0"/>
    <x v="1"/>
    <d v="2025-05-22T00:00:00"/>
    <n v="100"/>
    <n v="0"/>
    <x v="0"/>
    <s v="Completed"/>
    <x v="0"/>
    <n v="25"/>
    <s v="No"/>
    <n v="2025"/>
    <n v="5"/>
    <n v="5.809473684210527"/>
    <n v="1"/>
  </r>
  <r>
    <s v="S00331"/>
    <s v="P1496"/>
    <s v="newtonjose"/>
    <x v="0"/>
    <x v="2"/>
    <x v="4"/>
    <d v="2025-02-14T00:00:00"/>
    <n v="30"/>
    <n v="36.799999999999997"/>
    <x v="4"/>
    <s v="Exited Early"/>
    <x v="1"/>
    <n v="24"/>
    <s v="No"/>
    <n v="2025"/>
    <n v="2"/>
    <n v="5.8436470588235307"/>
    <n v="0"/>
  </r>
  <r>
    <s v="S00332"/>
    <s v="P4764"/>
    <s v="johnsonjulie"/>
    <x v="2"/>
    <x v="0"/>
    <x v="0"/>
    <d v="2025-03-18T00:00:00"/>
    <n v="180"/>
    <n v="0"/>
    <x v="0"/>
    <s v="Completed"/>
    <x v="0"/>
    <n v="18"/>
    <s v="Yes"/>
    <n v="2025"/>
    <n v="3"/>
    <n v="5.6604733727810652"/>
    <n v="1"/>
  </r>
  <r>
    <s v="S00333"/>
    <s v="P8963"/>
    <s v="justin27"/>
    <x v="4"/>
    <x v="0"/>
    <x v="2"/>
    <d v="2024-12-31T00:00:00"/>
    <n v="18"/>
    <n v="36.07"/>
    <x v="3"/>
    <s v="Completed"/>
    <x v="1"/>
    <n v="4"/>
    <s v="No"/>
    <n v="2024"/>
    <n v="12"/>
    <n v="5.6941666666666668"/>
    <n v="1"/>
  </r>
  <r>
    <s v="S00334"/>
    <s v="P1470"/>
    <s v="jonesjames"/>
    <x v="0"/>
    <x v="0"/>
    <x v="1"/>
    <d v="2025-01-19T00:00:00"/>
    <n v="5"/>
    <n v="14.86"/>
    <x v="3"/>
    <s v="Incomplete"/>
    <x v="1"/>
    <n v="23"/>
    <s v="No"/>
    <n v="2025"/>
    <n v="1"/>
    <n v="5.5122754491017965"/>
    <n v="0"/>
  </r>
  <r>
    <s v="S00335"/>
    <s v="P5228"/>
    <s v="melissa44"/>
    <x v="4"/>
    <x v="2"/>
    <x v="0"/>
    <d v="2025-01-08T00:00:00"/>
    <n v="159"/>
    <n v="0"/>
    <x v="0"/>
    <s v="Completed"/>
    <x v="0"/>
    <n v="20"/>
    <s v="Yes"/>
    <n v="2025"/>
    <n v="1"/>
    <n v="5.455963855421686"/>
    <n v="1"/>
  </r>
  <r>
    <s v="S00336"/>
    <s v="P4680"/>
    <s v="jack69"/>
    <x v="4"/>
    <x v="2"/>
    <x v="0"/>
    <d v="2025-03-16T00:00:00"/>
    <n v="161"/>
    <n v="45.73"/>
    <x v="1"/>
    <s v="Completed"/>
    <x v="1"/>
    <n v="4"/>
    <s v="Yes"/>
    <n v="2025"/>
    <n v="3"/>
    <n v="5.4890303030303027"/>
    <n v="1"/>
  </r>
  <r>
    <s v="S00337"/>
    <s v="P2974"/>
    <s v="maciasronald"/>
    <x v="1"/>
    <x v="0"/>
    <x v="0"/>
    <d v="2025-03-07T00:00:00"/>
    <n v="13"/>
    <n v="0"/>
    <x v="0"/>
    <s v="Exited Early"/>
    <x v="0"/>
    <n v="49"/>
    <s v="No"/>
    <n v="2025"/>
    <n v="3"/>
    <n v="5.2436585365853672"/>
    <n v="0"/>
  </r>
  <r>
    <s v="S00338"/>
    <s v="P9449"/>
    <s v="douglasluke"/>
    <x v="2"/>
    <x v="2"/>
    <x v="4"/>
    <d v="2025-04-12T00:00:00"/>
    <n v="110"/>
    <n v="0"/>
    <x v="0"/>
    <s v="Completed"/>
    <x v="0"/>
    <n v="40"/>
    <s v="No"/>
    <n v="2025"/>
    <n v="4"/>
    <n v="5.2758282208588962"/>
    <n v="1"/>
  </r>
  <r>
    <s v="S00339"/>
    <s v="P1806"/>
    <s v="michael88"/>
    <x v="4"/>
    <x v="2"/>
    <x v="5"/>
    <d v="2025-02-15T00:00:00"/>
    <n v="22"/>
    <n v="0"/>
    <x v="0"/>
    <s v="Completed"/>
    <x v="0"/>
    <n v="34"/>
    <s v="No"/>
    <n v="2025"/>
    <n v="2"/>
    <n v="5.3083950617283957"/>
    <n v="1"/>
  </r>
  <r>
    <s v="S00340"/>
    <s v="P6015"/>
    <s v="terrychristina"/>
    <x v="1"/>
    <x v="0"/>
    <x v="4"/>
    <d v="2025-05-12T00:00:00"/>
    <n v="168"/>
    <n v="33.729999999999997"/>
    <x v="3"/>
    <s v="Completed"/>
    <x v="1"/>
    <n v="48"/>
    <s v="Yes"/>
    <n v="2025"/>
    <n v="5"/>
    <n v="5.3413664596273298"/>
    <n v="1"/>
  </r>
  <r>
    <s v="S00341"/>
    <s v="P7017"/>
    <s v="smartin"/>
    <x v="2"/>
    <x v="2"/>
    <x v="1"/>
    <d v="2025-01-11T00:00:00"/>
    <n v="24"/>
    <n v="0"/>
    <x v="0"/>
    <s v="Completed"/>
    <x v="0"/>
    <n v="41"/>
    <s v="No"/>
    <n v="2025"/>
    <n v="1"/>
    <n v="5.1639375000000012"/>
    <n v="1"/>
  </r>
  <r>
    <s v="S00342"/>
    <s v="P9340"/>
    <s v="davisheather"/>
    <x v="3"/>
    <x v="1"/>
    <x v="0"/>
    <d v="2024-12-29T00:00:00"/>
    <n v="166"/>
    <n v="0"/>
    <x v="0"/>
    <s v="Incomplete"/>
    <x v="0"/>
    <n v="30"/>
    <s v="Yes"/>
    <n v="2024"/>
    <n v="12"/>
    <n v="5.1964150943396232"/>
    <n v="0"/>
  </r>
  <r>
    <s v="S00343"/>
    <s v="P6916"/>
    <s v="amber18"/>
    <x v="4"/>
    <x v="2"/>
    <x v="0"/>
    <d v="2025-04-09T00:00:00"/>
    <n v="42"/>
    <n v="0"/>
    <x v="0"/>
    <s v="Completed"/>
    <x v="1"/>
    <n v="12"/>
    <s v="No"/>
    <n v="2025"/>
    <n v="4"/>
    <n v="5.2293037974683552"/>
    <n v="1"/>
  </r>
  <r>
    <s v="S00344"/>
    <s v="P9975"/>
    <s v="hollyjenkins"/>
    <x v="4"/>
    <x v="2"/>
    <x v="4"/>
    <d v="2025-05-03T00:00:00"/>
    <n v="39"/>
    <n v="0"/>
    <x v="0"/>
    <s v="Completed"/>
    <x v="0"/>
    <n v="49"/>
    <s v="No"/>
    <n v="2025"/>
    <n v="5"/>
    <n v="5.2626114649681535"/>
    <n v="1"/>
  </r>
  <r>
    <s v="S00345"/>
    <s v="P6815"/>
    <s v="parkerpatricia"/>
    <x v="3"/>
    <x v="1"/>
    <x v="3"/>
    <d v="2025-04-19T00:00:00"/>
    <n v="91"/>
    <n v="13.08"/>
    <x v="4"/>
    <s v="Completed"/>
    <x v="1"/>
    <n v="17"/>
    <s v="No"/>
    <n v="2025"/>
    <n v="4"/>
    <n v="5.2963461538461543"/>
    <n v="1"/>
  </r>
  <r>
    <s v="S00346"/>
    <s v="P4525"/>
    <s v="kellergregory"/>
    <x v="1"/>
    <x v="1"/>
    <x v="1"/>
    <d v="2025-05-05T00:00:00"/>
    <n v="30"/>
    <n v="0"/>
    <x v="0"/>
    <s v="Incomplete"/>
    <x v="0"/>
    <n v="42"/>
    <s v="No"/>
    <n v="2025"/>
    <n v="5"/>
    <n v="5.2461290322580645"/>
    <n v="0"/>
  </r>
  <r>
    <s v="S00347"/>
    <s v="P8336"/>
    <s v="michellewilliams"/>
    <x v="0"/>
    <x v="1"/>
    <x v="3"/>
    <d v="2024-12-13T00:00:00"/>
    <n v="44"/>
    <n v="0"/>
    <x v="0"/>
    <s v="Completed"/>
    <x v="0"/>
    <n v="19"/>
    <s v="No"/>
    <n v="2024"/>
    <n v="12"/>
    <n v="5.2801948051948049"/>
    <n v="1"/>
  </r>
  <r>
    <s v="S00348"/>
    <s v="P6418"/>
    <s v="ericmoore"/>
    <x v="1"/>
    <x v="2"/>
    <x v="5"/>
    <d v="2025-03-14T00:00:00"/>
    <n v="57"/>
    <n v="0"/>
    <x v="0"/>
    <s v="Completed"/>
    <x v="1"/>
    <n v="29"/>
    <s v="No"/>
    <n v="2025"/>
    <n v="3"/>
    <n v="5.3147058823529409"/>
    <n v="1"/>
  </r>
  <r>
    <s v="S00349"/>
    <s v="P9419"/>
    <s v="angelaramsey"/>
    <x v="0"/>
    <x v="0"/>
    <x v="4"/>
    <d v="2025-05-30T00:00:00"/>
    <n v="165"/>
    <n v="0"/>
    <x v="0"/>
    <s v="Completed"/>
    <x v="0"/>
    <n v="15"/>
    <s v="Yes"/>
    <n v="2025"/>
    <n v="5"/>
    <n v="5.3496710526315789"/>
    <n v="1"/>
  </r>
  <r>
    <s v="S00350"/>
    <s v="P9081"/>
    <s v="brooke04"/>
    <x v="2"/>
    <x v="0"/>
    <x v="0"/>
    <d v="2025-02-24T00:00:00"/>
    <n v="22"/>
    <n v="0"/>
    <x v="0"/>
    <s v="Completed"/>
    <x v="0"/>
    <n v="22"/>
    <s v="No"/>
    <n v="2025"/>
    <n v="2"/>
    <n v="5.3850993377483443"/>
    <n v="1"/>
  </r>
  <r>
    <s v="S00351"/>
    <s v="P7887"/>
    <s v="nicholas09"/>
    <x v="2"/>
    <x v="0"/>
    <x v="5"/>
    <d v="2025-02-08T00:00:00"/>
    <n v="21"/>
    <n v="0"/>
    <x v="0"/>
    <s v="Completed"/>
    <x v="0"/>
    <n v="46"/>
    <s v="No"/>
    <n v="2025"/>
    <n v="2"/>
    <n v="5.4210000000000003"/>
    <n v="1"/>
  </r>
  <r>
    <s v="S00352"/>
    <s v="P8561"/>
    <s v="boonekristen"/>
    <x v="1"/>
    <x v="1"/>
    <x v="3"/>
    <d v="2025-03-15T00:00:00"/>
    <n v="127"/>
    <n v="0"/>
    <x v="0"/>
    <s v="Completed"/>
    <x v="0"/>
    <n v="13"/>
    <s v="No"/>
    <n v="2025"/>
    <n v="3"/>
    <n v="5.45738255033557"/>
    <n v="1"/>
  </r>
  <r>
    <s v="S00353"/>
    <s v="P2482"/>
    <s v="udavis"/>
    <x v="3"/>
    <x v="1"/>
    <x v="5"/>
    <d v="2025-02-23T00:00:00"/>
    <n v="21"/>
    <n v="0"/>
    <x v="0"/>
    <s v="Completed"/>
    <x v="0"/>
    <n v="2"/>
    <s v="No"/>
    <n v="2025"/>
    <n v="2"/>
    <n v="5.4942567567567568"/>
    <n v="1"/>
  </r>
  <r>
    <s v="S00354"/>
    <s v="P4996"/>
    <s v="jmcknight"/>
    <x v="4"/>
    <x v="0"/>
    <x v="4"/>
    <d v="2025-03-01T00:00:00"/>
    <n v="136"/>
    <n v="0"/>
    <x v="0"/>
    <s v="Completed"/>
    <x v="0"/>
    <n v="50"/>
    <s v="No"/>
    <n v="2025"/>
    <n v="3"/>
    <n v="5.5316326530612248"/>
    <n v="1"/>
  </r>
  <r>
    <s v="S00355"/>
    <s v="P2102"/>
    <s v="sarahlawrence"/>
    <x v="1"/>
    <x v="0"/>
    <x v="4"/>
    <d v="2025-04-23T00:00:00"/>
    <n v="41"/>
    <n v="0"/>
    <x v="0"/>
    <s v="Completed"/>
    <x v="0"/>
    <n v="27"/>
    <s v="No"/>
    <n v="2025"/>
    <n v="4"/>
    <n v="5.5695205479452055"/>
    <n v="1"/>
  </r>
  <r>
    <s v="S00356"/>
    <s v="P9101"/>
    <s v="hardychristopher"/>
    <x v="0"/>
    <x v="1"/>
    <x v="1"/>
    <d v="2025-05-21T00:00:00"/>
    <n v="104"/>
    <n v="0"/>
    <x v="0"/>
    <s v="Completed"/>
    <x v="0"/>
    <n v="14"/>
    <s v="No"/>
    <n v="2025"/>
    <n v="5"/>
    <n v="5.6079310344827586"/>
    <n v="1"/>
  </r>
  <r>
    <s v="S00357"/>
    <s v="P7149"/>
    <s v="sara36"/>
    <x v="1"/>
    <x v="0"/>
    <x v="1"/>
    <d v="2025-02-01T00:00:00"/>
    <n v="84"/>
    <n v="23.18"/>
    <x v="2"/>
    <s v="Completed"/>
    <x v="1"/>
    <n v="2"/>
    <s v="No"/>
    <n v="2025"/>
    <n v="2"/>
    <n v="5.6468749999999996"/>
    <n v="1"/>
  </r>
  <r>
    <s v="S00358"/>
    <s v="P1901"/>
    <s v="leestewart"/>
    <x v="4"/>
    <x v="2"/>
    <x v="4"/>
    <d v="2025-05-24T00:00:00"/>
    <n v="71"/>
    <n v="0"/>
    <x v="0"/>
    <s v="Completed"/>
    <x v="1"/>
    <n v="5"/>
    <s v="No"/>
    <n v="2025"/>
    <n v="5"/>
    <n v="5.5242657342657351"/>
    <n v="1"/>
  </r>
  <r>
    <s v="S00359"/>
    <s v="P8092"/>
    <s v="lisacoffey"/>
    <x v="1"/>
    <x v="0"/>
    <x v="1"/>
    <d v="2025-02-02T00:00:00"/>
    <n v="63"/>
    <n v="0"/>
    <x v="0"/>
    <s v="Crashed"/>
    <x v="0"/>
    <n v="4"/>
    <s v="No"/>
    <n v="2025"/>
    <n v="2"/>
    <n v="5.563169014084508"/>
    <n v="0"/>
  </r>
  <r>
    <s v="S00360"/>
    <s v="P9731"/>
    <s v="popelance"/>
    <x v="2"/>
    <x v="0"/>
    <x v="4"/>
    <d v="2025-05-06T00:00:00"/>
    <n v="63"/>
    <n v="0"/>
    <x v="0"/>
    <s v="Completed"/>
    <x v="0"/>
    <n v="15"/>
    <s v="No"/>
    <n v="2025"/>
    <n v="5"/>
    <n v="5.6026241134751782"/>
    <n v="1"/>
  </r>
  <r>
    <s v="S00361"/>
    <s v="P8648"/>
    <s v="mfarley"/>
    <x v="1"/>
    <x v="1"/>
    <x v="2"/>
    <d v="2025-06-09T00:00:00"/>
    <n v="18"/>
    <n v="0"/>
    <x v="0"/>
    <s v="Completed"/>
    <x v="0"/>
    <n v="16"/>
    <s v="No"/>
    <n v="2025"/>
    <n v="6"/>
    <n v="5.6426428571428584"/>
    <n v="1"/>
  </r>
  <r>
    <s v="S00362"/>
    <s v="P3956"/>
    <s v="ruizkimberly"/>
    <x v="2"/>
    <x v="1"/>
    <x v="1"/>
    <d v="2025-06-11T00:00:00"/>
    <n v="73"/>
    <n v="0"/>
    <x v="0"/>
    <s v="Completed"/>
    <x v="0"/>
    <n v="11"/>
    <s v="No"/>
    <n v="2025"/>
    <n v="6"/>
    <n v="5.6832374100719436"/>
    <n v="1"/>
  </r>
  <r>
    <s v="S00363"/>
    <s v="P8050"/>
    <s v="andersonwilliam"/>
    <x v="2"/>
    <x v="0"/>
    <x v="5"/>
    <d v="2025-01-14T00:00:00"/>
    <n v="102"/>
    <n v="0"/>
    <x v="0"/>
    <s v="Completed"/>
    <x v="0"/>
    <n v="2"/>
    <s v="No"/>
    <n v="2025"/>
    <n v="1"/>
    <n v="5.7244202898550736"/>
    <n v="1"/>
  </r>
  <r>
    <s v="S00364"/>
    <s v="P9065"/>
    <s v="andrewtran"/>
    <x v="3"/>
    <x v="0"/>
    <x v="4"/>
    <d v="2025-01-12T00:00:00"/>
    <n v="91"/>
    <n v="0"/>
    <x v="0"/>
    <s v="Completed"/>
    <x v="0"/>
    <n v="31"/>
    <s v="No"/>
    <n v="2025"/>
    <n v="1"/>
    <n v="5.766204379562045"/>
    <n v="1"/>
  </r>
  <r>
    <s v="S00365"/>
    <s v="P1888"/>
    <s v="lynchtina"/>
    <x v="2"/>
    <x v="1"/>
    <x v="4"/>
    <d v="2025-04-16T00:00:00"/>
    <n v="73"/>
    <n v="0"/>
    <x v="0"/>
    <s v="Incomplete"/>
    <x v="0"/>
    <n v="32"/>
    <s v="No"/>
    <n v="2025"/>
    <n v="4"/>
    <n v="5.8086029411764715"/>
    <n v="0"/>
  </r>
  <r>
    <s v="S00366"/>
    <s v="P8007"/>
    <s v="kelly45"/>
    <x v="4"/>
    <x v="1"/>
    <x v="3"/>
    <d v="2025-02-22T00:00:00"/>
    <n v="80"/>
    <n v="42.33"/>
    <x v="1"/>
    <s v="Completed"/>
    <x v="1"/>
    <n v="23"/>
    <s v="Yes"/>
    <n v="2025"/>
    <n v="2"/>
    <n v="5.8516296296296311"/>
    <n v="1"/>
  </r>
  <r>
    <s v="S00367"/>
    <s v="P7375"/>
    <s v="morrisryan"/>
    <x v="3"/>
    <x v="1"/>
    <x v="3"/>
    <d v="2025-05-23T00:00:00"/>
    <n v="6"/>
    <n v="0"/>
    <x v="0"/>
    <s v="Completed"/>
    <x v="0"/>
    <n v="12"/>
    <s v="No"/>
    <n v="2025"/>
    <n v="5"/>
    <n v="5.5794029850746272"/>
    <n v="1"/>
  </r>
  <r>
    <s v="S00368"/>
    <s v="P4682"/>
    <s v="aryan"/>
    <x v="0"/>
    <x v="1"/>
    <x v="4"/>
    <d v="2025-04-25T00:00:00"/>
    <n v="161"/>
    <n v="0"/>
    <x v="0"/>
    <s v="Completed"/>
    <x v="0"/>
    <n v="25"/>
    <s v="Yes"/>
    <n v="2025"/>
    <n v="4"/>
    <n v="5.6213533834586462"/>
    <n v="1"/>
  </r>
  <r>
    <s v="S00369"/>
    <s v="P6367"/>
    <s v="iyoung"/>
    <x v="2"/>
    <x v="2"/>
    <x v="1"/>
    <d v="2025-02-26T00:00:00"/>
    <n v="67"/>
    <n v="0"/>
    <x v="0"/>
    <s v="Exited Early"/>
    <x v="0"/>
    <n v="48"/>
    <s v="No"/>
    <n v="2025"/>
    <n v="2"/>
    <n v="5.6639393939393941"/>
    <n v="0"/>
  </r>
  <r>
    <s v="S00370"/>
    <s v="P1693"/>
    <s v="huntlawrence"/>
    <x v="3"/>
    <x v="1"/>
    <x v="3"/>
    <d v="2025-03-06T00:00:00"/>
    <n v="144"/>
    <n v="0"/>
    <x v="0"/>
    <s v="Exited Early"/>
    <x v="0"/>
    <n v="9"/>
    <s v="No"/>
    <n v="2025"/>
    <n v="3"/>
    <n v="5.707175572519084"/>
    <n v="0"/>
  </r>
  <r>
    <s v="S00371"/>
    <s v="P6086"/>
    <s v="parkzachary"/>
    <x v="1"/>
    <x v="1"/>
    <x v="2"/>
    <d v="2025-04-07T00:00:00"/>
    <n v="144"/>
    <n v="29.52"/>
    <x v="4"/>
    <s v="Exited Early"/>
    <x v="1"/>
    <n v="36"/>
    <s v="No"/>
    <n v="2025"/>
    <n v="4"/>
    <n v="5.7510769230769228"/>
    <n v="0"/>
  </r>
  <r>
    <s v="S00372"/>
    <s v="P1855"/>
    <s v="amandarogers"/>
    <x v="1"/>
    <x v="2"/>
    <x v="2"/>
    <d v="2024-12-29T00:00:00"/>
    <n v="83"/>
    <n v="0"/>
    <x v="0"/>
    <s v="Completed"/>
    <x v="0"/>
    <n v="49"/>
    <s v="No"/>
    <n v="2024"/>
    <n v="12"/>
    <n v="5.5668217054263565"/>
    <n v="1"/>
  </r>
  <r>
    <s v="S00373"/>
    <s v="P9993"/>
    <s v="bharris"/>
    <x v="2"/>
    <x v="2"/>
    <x v="0"/>
    <d v="2025-06-03T00:00:00"/>
    <n v="128"/>
    <n v="0"/>
    <x v="0"/>
    <s v="Completed"/>
    <x v="1"/>
    <n v="29"/>
    <s v="No"/>
    <n v="2025"/>
    <n v="6"/>
    <n v="5.6103125"/>
    <n v="1"/>
  </r>
  <r>
    <s v="S00374"/>
    <s v="P1603"/>
    <s v="rojasjennifer"/>
    <x v="1"/>
    <x v="2"/>
    <x v="5"/>
    <d v="2025-04-28T00:00:00"/>
    <n v="59"/>
    <n v="0"/>
    <x v="0"/>
    <s v="Completed"/>
    <x v="0"/>
    <n v="36"/>
    <s v="No"/>
    <n v="2025"/>
    <n v="4"/>
    <n v="5.6544881889763783"/>
    <n v="1"/>
  </r>
  <r>
    <s v="S00375"/>
    <s v="P5838"/>
    <s v="christopher10"/>
    <x v="1"/>
    <x v="0"/>
    <x v="0"/>
    <d v="2025-05-09T00:00:00"/>
    <n v="79"/>
    <n v="20.5"/>
    <x v="1"/>
    <s v="Completed"/>
    <x v="1"/>
    <n v="5"/>
    <s v="No"/>
    <n v="2025"/>
    <n v="5"/>
    <n v="5.6993650793650792"/>
    <n v="1"/>
  </r>
  <r>
    <s v="S00376"/>
    <s v="P4545"/>
    <s v="monique85"/>
    <x v="0"/>
    <x v="2"/>
    <x v="4"/>
    <d v="2024-12-25T00:00:00"/>
    <n v="167"/>
    <n v="0"/>
    <x v="0"/>
    <s v="Completed"/>
    <x v="1"/>
    <n v="37"/>
    <s v="Yes"/>
    <n v="2024"/>
    <n v="12"/>
    <n v="5.5809600000000001"/>
    <n v="1"/>
  </r>
  <r>
    <s v="S00377"/>
    <s v="P7247"/>
    <s v="hhuff"/>
    <x v="0"/>
    <x v="0"/>
    <x v="4"/>
    <d v="2025-04-18T00:00:00"/>
    <n v="165"/>
    <n v="21.99"/>
    <x v="1"/>
    <s v="Exited Early"/>
    <x v="1"/>
    <n v="45"/>
    <s v="Yes"/>
    <n v="2025"/>
    <n v="4"/>
    <n v="5.6259677419354839"/>
    <n v="0"/>
  </r>
  <r>
    <s v="S00378"/>
    <s v="P2591"/>
    <s v="caitlingonzales"/>
    <x v="0"/>
    <x v="0"/>
    <x v="4"/>
    <d v="2025-05-11T00:00:00"/>
    <n v="109"/>
    <n v="39.869999999999997"/>
    <x v="1"/>
    <s v="Completed"/>
    <x v="1"/>
    <n v="13"/>
    <s v="No"/>
    <n v="2025"/>
    <n v="5"/>
    <n v="5.4929268292682929"/>
    <n v="1"/>
  </r>
  <r>
    <s v="S00379"/>
    <s v="P1302"/>
    <s v="tdavis"/>
    <x v="3"/>
    <x v="1"/>
    <x v="4"/>
    <d v="2025-03-17T00:00:00"/>
    <n v="167"/>
    <n v="0"/>
    <x v="0"/>
    <s v="Exited Early"/>
    <x v="1"/>
    <n v="28"/>
    <s v="Yes"/>
    <n v="2025"/>
    <n v="3"/>
    <n v="5.2111475409836059"/>
    <n v="0"/>
  </r>
  <r>
    <s v="S00380"/>
    <s v="P7023"/>
    <s v="jessicacisneros"/>
    <x v="2"/>
    <x v="1"/>
    <x v="5"/>
    <d v="2025-02-06T00:00:00"/>
    <n v="36"/>
    <n v="14.75"/>
    <x v="3"/>
    <s v="Completed"/>
    <x v="1"/>
    <n v="46"/>
    <s v="No"/>
    <n v="2025"/>
    <n v="2"/>
    <n v="5.2542148760330569"/>
    <n v="1"/>
  </r>
  <r>
    <s v="S00381"/>
    <s v="P3795"/>
    <s v="shelbyvalencia"/>
    <x v="2"/>
    <x v="1"/>
    <x v="1"/>
    <d v="2025-03-21T00:00:00"/>
    <n v="54"/>
    <n v="0"/>
    <x v="0"/>
    <s v="Completed"/>
    <x v="0"/>
    <n v="25"/>
    <s v="No"/>
    <n v="2025"/>
    <n v="3"/>
    <n v="5.1750833333333324"/>
    <n v="1"/>
  </r>
  <r>
    <s v="S00382"/>
    <s v="P6609"/>
    <s v="jonathan22"/>
    <x v="0"/>
    <x v="0"/>
    <x v="2"/>
    <d v="2024-12-30T00:00:00"/>
    <n v="15"/>
    <n v="0"/>
    <x v="0"/>
    <s v="Completed"/>
    <x v="0"/>
    <n v="19"/>
    <s v="No"/>
    <n v="2024"/>
    <n v="12"/>
    <n v="5.218571428571428"/>
    <n v="1"/>
  </r>
  <r>
    <s v="S00383"/>
    <s v="P8505"/>
    <s v="derrickbuck"/>
    <x v="2"/>
    <x v="0"/>
    <x v="0"/>
    <d v="2025-04-29T00:00:00"/>
    <n v="101"/>
    <n v="0"/>
    <x v="0"/>
    <s v="Incomplete"/>
    <x v="0"/>
    <n v="41"/>
    <s v="No"/>
    <n v="2025"/>
    <n v="4"/>
    <n v="5.2627966101694907"/>
    <n v="0"/>
  </r>
  <r>
    <s v="S00384"/>
    <s v="P6967"/>
    <s v="zvargas"/>
    <x v="2"/>
    <x v="1"/>
    <x v="0"/>
    <d v="2025-01-27T00:00:00"/>
    <n v="79"/>
    <n v="0"/>
    <x v="0"/>
    <s v="Completed"/>
    <x v="0"/>
    <n v="48"/>
    <s v="No"/>
    <n v="2025"/>
    <n v="1"/>
    <n v="5.307777777777777"/>
    <n v="1"/>
  </r>
  <r>
    <s v="S00385"/>
    <s v="P5442"/>
    <s v="rsutton"/>
    <x v="3"/>
    <x v="2"/>
    <x v="2"/>
    <d v="2025-04-04T00:00:00"/>
    <n v="13"/>
    <n v="0"/>
    <x v="0"/>
    <s v="Completed"/>
    <x v="0"/>
    <n v="13"/>
    <s v="No"/>
    <n v="2025"/>
    <n v="4"/>
    <n v="5.3535344827586195"/>
    <n v="1"/>
  </r>
  <r>
    <s v="S00386"/>
    <s v="P5885"/>
    <s v="olopez"/>
    <x v="1"/>
    <x v="0"/>
    <x v="3"/>
    <d v="2025-01-06T00:00:00"/>
    <n v="157"/>
    <n v="0"/>
    <x v="0"/>
    <s v="Completed"/>
    <x v="0"/>
    <n v="22"/>
    <s v="Yes"/>
    <n v="2025"/>
    <n v="1"/>
    <n v="5.4000869565217382"/>
    <n v="1"/>
  </r>
  <r>
    <s v="S00387"/>
    <s v="P2635"/>
    <s v="carol86"/>
    <x v="2"/>
    <x v="0"/>
    <x v="3"/>
    <d v="2025-06-05T00:00:00"/>
    <n v="6"/>
    <n v="0"/>
    <x v="0"/>
    <s v="Crashed"/>
    <x v="0"/>
    <n v="7"/>
    <s v="No"/>
    <n v="2025"/>
    <n v="6"/>
    <n v="5.4474561403508766"/>
    <n v="0"/>
  </r>
  <r>
    <s v="S00388"/>
    <s v="P6440"/>
    <s v="lisabarber"/>
    <x v="3"/>
    <x v="0"/>
    <x v="2"/>
    <d v="2025-06-01T00:00:00"/>
    <n v="134"/>
    <n v="0"/>
    <x v="0"/>
    <s v="Completed"/>
    <x v="0"/>
    <n v="28"/>
    <s v="No"/>
    <n v="2025"/>
    <n v="6"/>
    <n v="5.4956637168141578"/>
    <n v="1"/>
  </r>
  <r>
    <s v="S00389"/>
    <s v="P4758"/>
    <s v="howardsamantha"/>
    <x v="4"/>
    <x v="2"/>
    <x v="3"/>
    <d v="2025-05-26T00:00:00"/>
    <n v="76"/>
    <n v="37.020000000000003"/>
    <x v="3"/>
    <s v="Completed"/>
    <x v="1"/>
    <n v="4"/>
    <s v="No"/>
    <n v="2025"/>
    <n v="5"/>
    <n v="5.5447321428571419"/>
    <n v="1"/>
  </r>
  <r>
    <s v="S00390"/>
    <s v="P9103"/>
    <s v="lance41"/>
    <x v="1"/>
    <x v="0"/>
    <x v="5"/>
    <d v="2025-05-06T00:00:00"/>
    <n v="71"/>
    <n v="0"/>
    <x v="0"/>
    <s v="Completed"/>
    <x v="0"/>
    <n v="46"/>
    <s v="No"/>
    <n v="2025"/>
    <n v="5"/>
    <n v="5.2611711711711706"/>
    <n v="1"/>
  </r>
  <r>
    <s v="S00391"/>
    <s v="P1344"/>
    <s v="williamsonkirsten"/>
    <x v="2"/>
    <x v="2"/>
    <x v="5"/>
    <d v="2025-01-03T00:00:00"/>
    <n v="49"/>
    <n v="19.43"/>
    <x v="3"/>
    <s v="Completed"/>
    <x v="1"/>
    <n v="22"/>
    <s v="No"/>
    <n v="2025"/>
    <n v="1"/>
    <n v="5.3089999999999993"/>
    <n v="1"/>
  </r>
  <r>
    <s v="S00392"/>
    <s v="P2684"/>
    <s v="bellraymond"/>
    <x v="1"/>
    <x v="1"/>
    <x v="1"/>
    <d v="2025-05-31T00:00:00"/>
    <n v="143"/>
    <n v="0"/>
    <x v="0"/>
    <s v="Incomplete"/>
    <x v="0"/>
    <n v="17"/>
    <s v="No"/>
    <n v="2025"/>
    <n v="5"/>
    <n v="5.1794495412844022"/>
    <n v="0"/>
  </r>
  <r>
    <s v="S00393"/>
    <s v="P1494"/>
    <s v="steven30"/>
    <x v="4"/>
    <x v="1"/>
    <x v="5"/>
    <d v="2025-02-15T00:00:00"/>
    <n v="166"/>
    <n v="0"/>
    <x v="0"/>
    <s v="Completed"/>
    <x v="0"/>
    <n v="39"/>
    <s v="Yes"/>
    <n v="2025"/>
    <n v="2"/>
    <n v="5.2274074074074059"/>
    <n v="1"/>
  </r>
  <r>
    <s v="S00394"/>
    <s v="P6548"/>
    <s v="hillchristopher"/>
    <x v="1"/>
    <x v="2"/>
    <x v="3"/>
    <d v="2025-05-29T00:00:00"/>
    <n v="34"/>
    <n v="0"/>
    <x v="0"/>
    <s v="Completed"/>
    <x v="0"/>
    <n v="45"/>
    <s v="No"/>
    <n v="2025"/>
    <n v="5"/>
    <n v="5.2762616822429891"/>
    <n v="1"/>
  </r>
  <r>
    <s v="S00395"/>
    <s v="P8926"/>
    <s v="ftyler"/>
    <x v="4"/>
    <x v="0"/>
    <x v="5"/>
    <d v="2025-01-28T00:00:00"/>
    <n v="57"/>
    <n v="0"/>
    <x v="0"/>
    <s v="Completed"/>
    <x v="0"/>
    <n v="1"/>
    <s v="No"/>
    <n v="2025"/>
    <n v="1"/>
    <n v="5.3260377358490549"/>
    <n v="1"/>
  </r>
  <r>
    <s v="S00396"/>
    <s v="P2202"/>
    <s v="soliskyle"/>
    <x v="2"/>
    <x v="1"/>
    <x v="0"/>
    <d v="2025-03-23T00:00:00"/>
    <n v="88"/>
    <n v="0"/>
    <x v="0"/>
    <s v="Completed"/>
    <x v="0"/>
    <n v="2"/>
    <s v="No"/>
    <n v="2025"/>
    <n v="3"/>
    <n v="5.3767619047619029"/>
    <n v="1"/>
  </r>
  <r>
    <s v="S00397"/>
    <s v="P9321"/>
    <s v="angelicawillis"/>
    <x v="0"/>
    <x v="1"/>
    <x v="2"/>
    <d v="2025-05-07T00:00:00"/>
    <n v="75"/>
    <n v="0"/>
    <x v="0"/>
    <s v="Completed"/>
    <x v="0"/>
    <n v="13"/>
    <s v="No"/>
    <n v="2025"/>
    <n v="5"/>
    <n v="5.4284615384615371"/>
    <n v="1"/>
  </r>
  <r>
    <s v="S00398"/>
    <s v="P6922"/>
    <s v="aprince"/>
    <x v="2"/>
    <x v="2"/>
    <x v="0"/>
    <d v="2025-02-15T00:00:00"/>
    <n v="129"/>
    <n v="0"/>
    <x v="0"/>
    <s v="Incomplete"/>
    <x v="0"/>
    <n v="37"/>
    <s v="No"/>
    <n v="2025"/>
    <n v="2"/>
    <n v="5.481165048543688"/>
    <n v="0"/>
  </r>
  <r>
    <s v="S00399"/>
    <s v="P6788"/>
    <s v="dylanblack"/>
    <x v="1"/>
    <x v="0"/>
    <x v="0"/>
    <d v="2025-04-06T00:00:00"/>
    <n v="145"/>
    <n v="0"/>
    <x v="0"/>
    <s v="Completed"/>
    <x v="0"/>
    <n v="43"/>
    <s v="No"/>
    <n v="2025"/>
    <n v="4"/>
    <n v="5.5349019607843122"/>
    <n v="1"/>
  </r>
  <r>
    <s v="S00400"/>
    <s v="P1936"/>
    <s v="hoodchristopher"/>
    <x v="1"/>
    <x v="0"/>
    <x v="2"/>
    <d v="2025-01-22T00:00:00"/>
    <n v="23"/>
    <n v="0"/>
    <x v="0"/>
    <s v="Completed"/>
    <x v="1"/>
    <n v="26"/>
    <s v="No"/>
    <n v="2025"/>
    <n v="1"/>
    <n v="5.5897029702970285"/>
    <n v="1"/>
  </r>
  <r>
    <s v="S00401"/>
    <s v="P3613"/>
    <s v="sandraclark"/>
    <x v="2"/>
    <x v="1"/>
    <x v="2"/>
    <d v="2025-05-26T00:00:00"/>
    <n v="105"/>
    <n v="0"/>
    <x v="0"/>
    <s v="Completed"/>
    <x v="0"/>
    <n v="24"/>
    <s v="No"/>
    <n v="2025"/>
    <n v="5"/>
    <n v="5.6455999999999982"/>
    <n v="1"/>
  </r>
  <r>
    <s v="S00402"/>
    <s v="P1659"/>
    <s v="ffitzpatrick"/>
    <x v="4"/>
    <x v="0"/>
    <x v="2"/>
    <d v="2025-05-27T00:00:00"/>
    <n v="22"/>
    <n v="42.28"/>
    <x v="2"/>
    <s v="Incomplete"/>
    <x v="1"/>
    <n v="10"/>
    <s v="Yes"/>
    <n v="2025"/>
    <n v="5"/>
    <n v="5.7026262626262607"/>
    <n v="0"/>
  </r>
  <r>
    <s v="S00403"/>
    <s v="P8982"/>
    <s v="dominiquejohnson"/>
    <x v="4"/>
    <x v="1"/>
    <x v="3"/>
    <d v="2025-06-08T00:00:00"/>
    <n v="41"/>
    <n v="24.14"/>
    <x v="3"/>
    <s v="Completed"/>
    <x v="1"/>
    <n v="28"/>
    <s v="No"/>
    <n v="2025"/>
    <n v="6"/>
    <n v="5.3293877551020392"/>
    <n v="1"/>
  </r>
  <r>
    <s v="S00404"/>
    <s v="P4516"/>
    <s v="sellersgregory"/>
    <x v="2"/>
    <x v="0"/>
    <x v="3"/>
    <d v="2025-05-21T00:00:00"/>
    <n v="9"/>
    <n v="0"/>
    <x v="0"/>
    <s v="Exited Early"/>
    <x v="0"/>
    <n v="40"/>
    <s v="No"/>
    <n v="2025"/>
    <n v="5"/>
    <n v="5.1354639175257732"/>
    <n v="0"/>
  </r>
  <r>
    <s v="S00405"/>
    <s v="P6700"/>
    <s v="armstrongmary"/>
    <x v="3"/>
    <x v="0"/>
    <x v="2"/>
    <d v="2025-02-12T00:00:00"/>
    <n v="111"/>
    <n v="0"/>
    <x v="0"/>
    <s v="Completed"/>
    <x v="0"/>
    <n v="26"/>
    <s v="No"/>
    <n v="2025"/>
    <n v="2"/>
    <n v="5.1889583333333329"/>
    <n v="1"/>
  </r>
  <r>
    <s v="S00406"/>
    <s v="P3545"/>
    <s v="barnettdonna"/>
    <x v="4"/>
    <x v="2"/>
    <x v="1"/>
    <d v="2025-05-24T00:00:00"/>
    <n v="25"/>
    <n v="0"/>
    <x v="0"/>
    <s v="Completed"/>
    <x v="0"/>
    <n v="12"/>
    <s v="No"/>
    <n v="2025"/>
    <n v="5"/>
    <n v="5.2435789473684213"/>
    <n v="1"/>
  </r>
  <r>
    <s v="S00407"/>
    <s v="P8156"/>
    <s v="melissaphillips"/>
    <x v="0"/>
    <x v="1"/>
    <x v="3"/>
    <d v="2025-02-13T00:00:00"/>
    <n v="111"/>
    <n v="46.08"/>
    <x v="1"/>
    <s v="Crashed"/>
    <x v="1"/>
    <n v="15"/>
    <s v="Yes"/>
    <n v="2025"/>
    <n v="2"/>
    <n v="5.2993617021276593"/>
    <n v="0"/>
  </r>
  <r>
    <s v="S00408"/>
    <s v="P9402"/>
    <s v="hoffmandaniel"/>
    <x v="2"/>
    <x v="0"/>
    <x v="0"/>
    <d v="2025-02-08T00:00:00"/>
    <n v="144"/>
    <n v="0"/>
    <x v="0"/>
    <s v="Incomplete"/>
    <x v="0"/>
    <n v="36"/>
    <s v="No"/>
    <n v="2025"/>
    <n v="2"/>
    <n v="4.860860215053763"/>
    <n v="0"/>
  </r>
  <r>
    <s v="S00409"/>
    <s v="P2227"/>
    <s v="thomascorey"/>
    <x v="2"/>
    <x v="1"/>
    <x v="5"/>
    <d v="2025-01-10T00:00:00"/>
    <n v="22"/>
    <n v="17.350000000000001"/>
    <x v="3"/>
    <s v="Crashed"/>
    <x v="1"/>
    <n v="49"/>
    <s v="No"/>
    <n v="2025"/>
    <n v="1"/>
    <n v="4.9136956521739128"/>
    <n v="0"/>
  </r>
  <r>
    <s v="S00410"/>
    <s v="P2497"/>
    <s v="thomas01"/>
    <x v="4"/>
    <x v="0"/>
    <x v="3"/>
    <d v="2025-02-13T00:00:00"/>
    <n v="154"/>
    <n v="0"/>
    <x v="0"/>
    <s v="Completed"/>
    <x v="0"/>
    <n v="27"/>
    <s v="Yes"/>
    <n v="2025"/>
    <n v="2"/>
    <n v="4.7770329670329668"/>
    <n v="1"/>
  </r>
  <r>
    <s v="S00411"/>
    <s v="P3311"/>
    <s v="riddleaaron"/>
    <x v="3"/>
    <x v="0"/>
    <x v="0"/>
    <d v="2025-01-16T00:00:00"/>
    <n v="166"/>
    <n v="0"/>
    <x v="0"/>
    <s v="Incomplete"/>
    <x v="0"/>
    <n v="5"/>
    <s v="Yes"/>
    <n v="2025"/>
    <n v="1"/>
    <n v="4.830111111111111"/>
    <n v="0"/>
  </r>
  <r>
    <s v="S00412"/>
    <s v="P4171"/>
    <s v="tdean"/>
    <x v="2"/>
    <x v="0"/>
    <x v="0"/>
    <d v="2025-05-02T00:00:00"/>
    <n v="16"/>
    <n v="0"/>
    <x v="0"/>
    <s v="Completed"/>
    <x v="1"/>
    <n v="16"/>
    <s v="No"/>
    <n v="2025"/>
    <n v="5"/>
    <n v="4.8843820224719101"/>
    <n v="1"/>
  </r>
  <r>
    <s v="S00413"/>
    <s v="P5355"/>
    <s v="bruce10"/>
    <x v="4"/>
    <x v="0"/>
    <x v="3"/>
    <d v="2025-01-20T00:00:00"/>
    <n v="144"/>
    <n v="0"/>
    <x v="0"/>
    <s v="Completed"/>
    <x v="0"/>
    <n v="3"/>
    <s v="No"/>
    <n v="2025"/>
    <n v="1"/>
    <n v="4.9398863636363632"/>
    <n v="1"/>
  </r>
  <r>
    <s v="S00414"/>
    <s v="P4285"/>
    <s v="annettejackson"/>
    <x v="1"/>
    <x v="1"/>
    <x v="1"/>
    <d v="2025-05-19T00:00:00"/>
    <n v="58"/>
    <n v="0"/>
    <x v="0"/>
    <s v="Completed"/>
    <x v="0"/>
    <n v="43"/>
    <s v="No"/>
    <n v="2025"/>
    <n v="5"/>
    <n v="4.9966666666666661"/>
    <n v="1"/>
  </r>
  <r>
    <s v="S00415"/>
    <s v="P6369"/>
    <s v="kingtroy"/>
    <x v="3"/>
    <x v="0"/>
    <x v="5"/>
    <d v="2025-05-03T00:00:00"/>
    <n v="95"/>
    <n v="35.92"/>
    <x v="4"/>
    <s v="Exited Early"/>
    <x v="1"/>
    <n v="6"/>
    <s v="No"/>
    <n v="2025"/>
    <n v="5"/>
    <n v="5.0547674418604647"/>
    <n v="0"/>
  </r>
  <r>
    <s v="S00416"/>
    <s v="P1436"/>
    <s v="coxanthony"/>
    <x v="4"/>
    <x v="2"/>
    <x v="3"/>
    <d v="2024-12-31T00:00:00"/>
    <n v="86"/>
    <n v="0"/>
    <x v="0"/>
    <s v="Incomplete"/>
    <x v="1"/>
    <n v="17"/>
    <s v="No"/>
    <n v="2024"/>
    <n v="12"/>
    <n v="4.6916470588235288"/>
    <n v="0"/>
  </r>
  <r>
    <s v="S00417"/>
    <s v="P5233"/>
    <s v="paige96"/>
    <x v="4"/>
    <x v="0"/>
    <x v="5"/>
    <d v="2025-01-06T00:00:00"/>
    <n v="12"/>
    <n v="1.44"/>
    <x v="1"/>
    <s v="Completed"/>
    <x v="1"/>
    <n v="15"/>
    <s v="No"/>
    <n v="2025"/>
    <n v="1"/>
    <n v="4.7474999999999996"/>
    <n v="1"/>
  </r>
  <r>
    <s v="S00418"/>
    <s v="P5382"/>
    <s v="sabrina44"/>
    <x v="3"/>
    <x v="2"/>
    <x v="4"/>
    <d v="2025-06-03T00:00:00"/>
    <n v="8"/>
    <n v="2.1"/>
    <x v="1"/>
    <s v="Exited Early"/>
    <x v="1"/>
    <n v="44"/>
    <s v="No"/>
    <n v="2025"/>
    <n v="6"/>
    <n v="4.7873493975903614"/>
    <n v="0"/>
  </r>
  <r>
    <s v="S00419"/>
    <s v="P1065"/>
    <s v="neilmorrison"/>
    <x v="0"/>
    <x v="1"/>
    <x v="1"/>
    <d v="2025-04-08T00:00:00"/>
    <n v="180"/>
    <n v="0"/>
    <x v="0"/>
    <s v="Completed"/>
    <x v="0"/>
    <n v="8"/>
    <s v="Yes"/>
    <n v="2025"/>
    <n v="4"/>
    <n v="4.8201219512195115"/>
    <n v="1"/>
  </r>
  <r>
    <s v="S00420"/>
    <s v="P8628"/>
    <s v="russochelsey"/>
    <x v="3"/>
    <x v="1"/>
    <x v="1"/>
    <d v="2025-05-27T00:00:00"/>
    <n v="35"/>
    <n v="13.33"/>
    <x v="4"/>
    <s v="Completed"/>
    <x v="1"/>
    <n v="42"/>
    <s v="No"/>
    <n v="2025"/>
    <n v="5"/>
    <n v="4.8796296296296289"/>
    <n v="1"/>
  </r>
  <r>
    <s v="S00421"/>
    <s v="P9217"/>
    <s v="pwright"/>
    <x v="0"/>
    <x v="0"/>
    <x v="4"/>
    <d v="2025-04-20T00:00:00"/>
    <n v="97"/>
    <n v="3.6"/>
    <x v="2"/>
    <s v="Incomplete"/>
    <x v="1"/>
    <n v="14"/>
    <s v="No"/>
    <n v="2025"/>
    <n v="4"/>
    <n v="4.7739999999999991"/>
    <n v="0"/>
  </r>
  <r>
    <s v="S00422"/>
    <s v="P9334"/>
    <s v="samantha20"/>
    <x v="4"/>
    <x v="1"/>
    <x v="4"/>
    <d v="2024-12-17T00:00:00"/>
    <n v="92"/>
    <n v="0"/>
    <x v="0"/>
    <s v="Completed"/>
    <x v="1"/>
    <n v="31"/>
    <s v="No"/>
    <n v="2024"/>
    <n v="12"/>
    <n v="4.7888607594936712"/>
    <n v="1"/>
  </r>
  <r>
    <s v="S00423"/>
    <s v="P8641"/>
    <s v="johnsonandrea"/>
    <x v="2"/>
    <x v="0"/>
    <x v="4"/>
    <d v="2025-02-12T00:00:00"/>
    <n v="166"/>
    <n v="0"/>
    <x v="0"/>
    <s v="Completed"/>
    <x v="0"/>
    <n v="43"/>
    <s v="Yes"/>
    <n v="2025"/>
    <n v="2"/>
    <n v="4.8502564102564101"/>
    <n v="1"/>
  </r>
  <r>
    <s v="S00424"/>
    <s v="P8632"/>
    <s v="nramos"/>
    <x v="1"/>
    <x v="0"/>
    <x v="4"/>
    <d v="2025-01-19T00:00:00"/>
    <n v="146"/>
    <n v="22.51"/>
    <x v="3"/>
    <s v="Exited Early"/>
    <x v="1"/>
    <n v="25"/>
    <s v="No"/>
    <n v="2025"/>
    <n v="1"/>
    <n v="4.913246753246753"/>
    <n v="0"/>
  </r>
  <r>
    <s v="S00425"/>
    <s v="P6749"/>
    <s v="pmoore"/>
    <x v="0"/>
    <x v="0"/>
    <x v="0"/>
    <d v="2025-03-06T00:00:00"/>
    <n v="7"/>
    <n v="29.06"/>
    <x v="3"/>
    <s v="Completed"/>
    <x v="1"/>
    <n v="12"/>
    <s v="No"/>
    <n v="2025"/>
    <n v="3"/>
    <n v="4.681710526315789"/>
    <n v="1"/>
  </r>
  <r>
    <s v="S00426"/>
    <s v="P8176"/>
    <s v="enielsen"/>
    <x v="0"/>
    <x v="1"/>
    <x v="2"/>
    <d v="2025-01-12T00:00:00"/>
    <n v="79"/>
    <n v="0"/>
    <x v="0"/>
    <s v="Completed"/>
    <x v="0"/>
    <n v="30"/>
    <s v="No"/>
    <n v="2025"/>
    <n v="1"/>
    <n v="4.3566666666666665"/>
    <n v="1"/>
  </r>
  <r>
    <s v="S00427"/>
    <s v="P9104"/>
    <s v="melissa17"/>
    <x v="1"/>
    <x v="2"/>
    <x v="1"/>
    <d v="2025-02-07T00:00:00"/>
    <n v="39"/>
    <n v="0"/>
    <x v="0"/>
    <s v="Completed"/>
    <x v="0"/>
    <n v="12"/>
    <s v="No"/>
    <n v="2025"/>
    <n v="2"/>
    <n v="4.4155405405405403"/>
    <n v="1"/>
  </r>
  <r>
    <s v="S00428"/>
    <s v="P5582"/>
    <s v="jennifer94"/>
    <x v="1"/>
    <x v="0"/>
    <x v="5"/>
    <d v="2024-12-19T00:00:00"/>
    <n v="9"/>
    <n v="0"/>
    <x v="0"/>
    <s v="Incomplete"/>
    <x v="0"/>
    <n v="23"/>
    <s v="No"/>
    <n v="2024"/>
    <n v="12"/>
    <n v="4.4760273972602738"/>
    <n v="0"/>
  </r>
  <r>
    <s v="S00429"/>
    <s v="P4908"/>
    <s v="twashington"/>
    <x v="4"/>
    <x v="2"/>
    <x v="0"/>
    <d v="2025-06-13T00:00:00"/>
    <n v="70"/>
    <n v="11.82"/>
    <x v="3"/>
    <s v="Completed"/>
    <x v="1"/>
    <n v="5"/>
    <s v="No"/>
    <n v="2025"/>
    <n v="6"/>
    <n v="4.5381944444444446"/>
    <n v="1"/>
  </r>
  <r>
    <s v="S00430"/>
    <s v="P8542"/>
    <s v="brian05"/>
    <x v="4"/>
    <x v="1"/>
    <x v="0"/>
    <d v="2025-01-27T00:00:00"/>
    <n v="156"/>
    <n v="0"/>
    <x v="0"/>
    <s v="Completed"/>
    <x v="0"/>
    <n v="6"/>
    <s v="Yes"/>
    <n v="2025"/>
    <n v="1"/>
    <n v="4.4356338028169011"/>
    <n v="1"/>
  </r>
  <r>
    <s v="S00431"/>
    <s v="P7163"/>
    <s v="emilynelson"/>
    <x v="1"/>
    <x v="0"/>
    <x v="4"/>
    <d v="2024-12-15T00:00:00"/>
    <n v="159"/>
    <n v="0"/>
    <x v="0"/>
    <s v="Completed"/>
    <x v="0"/>
    <n v="14"/>
    <s v="Yes"/>
    <n v="2024"/>
    <n v="12"/>
    <n v="4.4989999999999997"/>
    <n v="1"/>
  </r>
  <r>
    <s v="S00432"/>
    <s v="P2427"/>
    <s v="kacosta"/>
    <x v="1"/>
    <x v="2"/>
    <x v="1"/>
    <d v="2025-01-23T00:00:00"/>
    <n v="139"/>
    <n v="0"/>
    <x v="0"/>
    <s v="Completed"/>
    <x v="0"/>
    <n v="37"/>
    <s v="No"/>
    <n v="2025"/>
    <n v="1"/>
    <n v="4.5642028985507244"/>
    <n v="1"/>
  </r>
  <r>
    <s v="S00433"/>
    <s v="P1911"/>
    <s v="yvette50"/>
    <x v="0"/>
    <x v="1"/>
    <x v="1"/>
    <d v="2025-05-01T00:00:00"/>
    <n v="25"/>
    <n v="0"/>
    <x v="0"/>
    <s v="Completed"/>
    <x v="1"/>
    <n v="20"/>
    <s v="No"/>
    <n v="2025"/>
    <n v="5"/>
    <n v="4.6313235294117652"/>
    <n v="1"/>
  </r>
  <r>
    <s v="S00434"/>
    <s v="P2246"/>
    <s v="lisajames"/>
    <x v="4"/>
    <x v="1"/>
    <x v="4"/>
    <d v="2025-03-23T00:00:00"/>
    <n v="80"/>
    <n v="0"/>
    <x v="0"/>
    <s v="Incomplete"/>
    <x v="0"/>
    <n v="3"/>
    <s v="No"/>
    <n v="2025"/>
    <n v="3"/>
    <n v="4.7004477611940301"/>
    <n v="0"/>
  </r>
  <r>
    <s v="S00435"/>
    <s v="P2996"/>
    <s v="linda22"/>
    <x v="1"/>
    <x v="0"/>
    <x v="4"/>
    <d v="2025-04-26T00:00:00"/>
    <n v="101"/>
    <n v="0"/>
    <x v="0"/>
    <s v="Completed"/>
    <x v="0"/>
    <n v="15"/>
    <s v="No"/>
    <n v="2025"/>
    <n v="4"/>
    <n v="4.7716666666666665"/>
    <n v="1"/>
  </r>
  <r>
    <s v="S00436"/>
    <s v="P9175"/>
    <s v="gregbaker"/>
    <x v="1"/>
    <x v="0"/>
    <x v="5"/>
    <d v="2024-12-19T00:00:00"/>
    <n v="176"/>
    <n v="0"/>
    <x v="0"/>
    <s v="Completed"/>
    <x v="0"/>
    <n v="18"/>
    <s v="Yes"/>
    <n v="2024"/>
    <n v="12"/>
    <n v="4.8450769230769231"/>
    <n v="1"/>
  </r>
  <r>
    <s v="S00437"/>
    <s v="P1726"/>
    <s v="sheila89"/>
    <x v="0"/>
    <x v="2"/>
    <x v="1"/>
    <d v="2025-02-20T00:00:00"/>
    <n v="101"/>
    <n v="0"/>
    <x v="0"/>
    <s v="Incomplete"/>
    <x v="0"/>
    <n v="5"/>
    <s v="No"/>
    <n v="2025"/>
    <n v="2"/>
    <n v="4.9207812500000001"/>
    <n v="0"/>
  </r>
  <r>
    <s v="S00438"/>
    <s v="P1604"/>
    <s v="pweaver"/>
    <x v="3"/>
    <x v="0"/>
    <x v="3"/>
    <d v="2025-05-20T00:00:00"/>
    <n v="147"/>
    <n v="32.049999999999997"/>
    <x v="2"/>
    <s v="Incomplete"/>
    <x v="1"/>
    <n v="11"/>
    <s v="No"/>
    <n v="2025"/>
    <n v="5"/>
    <n v="4.9988888888888887"/>
    <n v="0"/>
  </r>
  <r>
    <s v="S00439"/>
    <s v="P4812"/>
    <s v="thomas99"/>
    <x v="1"/>
    <x v="1"/>
    <x v="2"/>
    <d v="2025-01-10T00:00:00"/>
    <n v="46"/>
    <n v="0"/>
    <x v="0"/>
    <s v="Completed"/>
    <x v="0"/>
    <n v="4"/>
    <s v="No"/>
    <n v="2025"/>
    <n v="1"/>
    <n v="4.5625806451612902"/>
    <n v="1"/>
  </r>
  <r>
    <s v="S00440"/>
    <s v="P5667"/>
    <s v="victoria39"/>
    <x v="3"/>
    <x v="2"/>
    <x v="5"/>
    <d v="2025-06-02T00:00:00"/>
    <n v="33"/>
    <n v="0"/>
    <x v="0"/>
    <s v="Exited Early"/>
    <x v="0"/>
    <n v="20"/>
    <s v="No"/>
    <n v="2025"/>
    <n v="6"/>
    <n v="4.6373770491803281"/>
    <n v="0"/>
  </r>
  <r>
    <s v="S00441"/>
    <s v="P4138"/>
    <s v="ecooley"/>
    <x v="0"/>
    <x v="1"/>
    <x v="0"/>
    <d v="2025-02-25T00:00:00"/>
    <n v="150"/>
    <n v="0"/>
    <x v="0"/>
    <s v="Completed"/>
    <x v="0"/>
    <n v="46"/>
    <s v="No"/>
    <n v="2025"/>
    <n v="2"/>
    <n v="4.714666666666667"/>
    <n v="1"/>
  </r>
  <r>
    <s v="S00442"/>
    <s v="P9949"/>
    <s v="brenda52"/>
    <x v="0"/>
    <x v="0"/>
    <x v="3"/>
    <d v="2025-05-16T00:00:00"/>
    <n v="166"/>
    <n v="0"/>
    <x v="0"/>
    <s v="Completed"/>
    <x v="0"/>
    <n v="27"/>
    <s v="Yes"/>
    <n v="2025"/>
    <n v="5"/>
    <n v="4.7945762711864406"/>
    <n v="1"/>
  </r>
  <r>
    <s v="S00443"/>
    <s v="P9493"/>
    <s v="zmendoza"/>
    <x v="3"/>
    <x v="1"/>
    <x v="3"/>
    <d v="2025-01-21T00:00:00"/>
    <n v="96"/>
    <n v="0"/>
    <x v="0"/>
    <s v="Completed"/>
    <x v="1"/>
    <n v="38"/>
    <s v="No"/>
    <n v="2025"/>
    <n v="1"/>
    <n v="4.8772413793103446"/>
    <n v="1"/>
  </r>
  <r>
    <s v="S00444"/>
    <s v="P8787"/>
    <s v="jamesbarber"/>
    <x v="2"/>
    <x v="0"/>
    <x v="4"/>
    <d v="2025-05-18T00:00:00"/>
    <n v="51"/>
    <n v="0"/>
    <x v="0"/>
    <s v="Completed"/>
    <x v="0"/>
    <n v="9"/>
    <s v="No"/>
    <n v="2025"/>
    <n v="5"/>
    <n v="4.9628070175438594"/>
    <n v="1"/>
  </r>
  <r>
    <s v="S00445"/>
    <s v="P6434"/>
    <s v="caitlinmiller"/>
    <x v="3"/>
    <x v="0"/>
    <x v="5"/>
    <d v="2024-12-26T00:00:00"/>
    <n v="96"/>
    <n v="0"/>
    <x v="0"/>
    <s v="Completed"/>
    <x v="0"/>
    <n v="49"/>
    <s v="No"/>
    <n v="2024"/>
    <n v="12"/>
    <n v="5.0514285714285716"/>
    <n v="1"/>
  </r>
  <r>
    <s v="S00446"/>
    <s v="P7453"/>
    <s v="davidhunt"/>
    <x v="0"/>
    <x v="0"/>
    <x v="5"/>
    <d v="2025-05-10T00:00:00"/>
    <n v="114"/>
    <n v="0"/>
    <x v="0"/>
    <s v="Incomplete"/>
    <x v="0"/>
    <n v="22"/>
    <s v="No"/>
    <n v="2025"/>
    <n v="5"/>
    <n v="5.143272727272727"/>
    <n v="0"/>
  </r>
  <r>
    <s v="S00447"/>
    <s v="P1920"/>
    <s v="fsteele"/>
    <x v="4"/>
    <x v="1"/>
    <x v="1"/>
    <d v="2024-12-28T00:00:00"/>
    <n v="133"/>
    <n v="0"/>
    <x v="0"/>
    <s v="Exited Early"/>
    <x v="0"/>
    <n v="10"/>
    <s v="No"/>
    <n v="2024"/>
    <n v="12"/>
    <n v="5.2385185185185188"/>
    <n v="0"/>
  </r>
  <r>
    <s v="S00448"/>
    <s v="P1344"/>
    <s v="keithunderwood"/>
    <x v="1"/>
    <x v="0"/>
    <x v="2"/>
    <d v="2025-04-08T00:00:00"/>
    <n v="104"/>
    <n v="9.94"/>
    <x v="2"/>
    <s v="Exited Early"/>
    <x v="1"/>
    <n v="21"/>
    <s v="No"/>
    <n v="2025"/>
    <n v="4"/>
    <n v="5.3373584905660376"/>
    <n v="0"/>
  </r>
  <r>
    <s v="S00449"/>
    <s v="P5705"/>
    <s v="hernandezcatherine"/>
    <x v="0"/>
    <x v="0"/>
    <x v="2"/>
    <d v="2025-04-11T00:00:00"/>
    <n v="108"/>
    <n v="0"/>
    <x v="0"/>
    <s v="Crashed"/>
    <x v="0"/>
    <n v="22"/>
    <s v="No"/>
    <n v="2025"/>
    <n v="4"/>
    <n v="5.2488461538461539"/>
    <n v="0"/>
  </r>
  <r>
    <s v="S00450"/>
    <s v="P3198"/>
    <s v="bherrera"/>
    <x v="1"/>
    <x v="1"/>
    <x v="0"/>
    <d v="2025-03-08T00:00:00"/>
    <n v="63"/>
    <n v="0"/>
    <x v="0"/>
    <s v="Completed"/>
    <x v="0"/>
    <n v="25"/>
    <s v="No"/>
    <n v="2025"/>
    <n v="3"/>
    <n v="5.3517647058823528"/>
    <n v="1"/>
  </r>
  <r>
    <s v="S00451"/>
    <s v="P5894"/>
    <s v="chendavid"/>
    <x v="4"/>
    <x v="1"/>
    <x v="2"/>
    <d v="2025-01-03T00:00:00"/>
    <n v="33"/>
    <n v="0"/>
    <x v="0"/>
    <s v="Completed"/>
    <x v="0"/>
    <n v="32"/>
    <s v="No"/>
    <n v="2025"/>
    <n v="1"/>
    <n v="5.4588000000000001"/>
    <n v="1"/>
  </r>
  <r>
    <s v="S00452"/>
    <s v="P9365"/>
    <s v="rware"/>
    <x v="2"/>
    <x v="1"/>
    <x v="3"/>
    <d v="2025-05-14T00:00:00"/>
    <n v="39"/>
    <n v="0"/>
    <x v="0"/>
    <s v="Completed"/>
    <x v="0"/>
    <n v="42"/>
    <s v="No"/>
    <n v="2025"/>
    <n v="5"/>
    <n v="5.570204081632653"/>
    <n v="1"/>
  </r>
  <r>
    <s v="S00453"/>
    <s v="P7874"/>
    <s v="gloriajohnson"/>
    <x v="4"/>
    <x v="2"/>
    <x v="5"/>
    <d v="2025-02-26T00:00:00"/>
    <n v="11"/>
    <n v="0"/>
    <x v="0"/>
    <s v="Exited Early"/>
    <x v="0"/>
    <n v="12"/>
    <s v="No"/>
    <n v="2025"/>
    <n v="2"/>
    <n v="5.6862500000000002"/>
    <n v="0"/>
  </r>
  <r>
    <s v="S00454"/>
    <s v="P4547"/>
    <s v="allenvictor"/>
    <x v="2"/>
    <x v="1"/>
    <x v="2"/>
    <d v="2025-02-20T00:00:00"/>
    <n v="142"/>
    <n v="0"/>
    <x v="0"/>
    <s v="Completed"/>
    <x v="0"/>
    <n v="32"/>
    <s v="No"/>
    <n v="2025"/>
    <n v="2"/>
    <n v="5.8072340425531914"/>
    <n v="1"/>
  </r>
  <r>
    <s v="S00455"/>
    <s v="P4283"/>
    <s v="sheiladavis"/>
    <x v="3"/>
    <x v="2"/>
    <x v="1"/>
    <d v="2025-01-12T00:00:00"/>
    <n v="123"/>
    <n v="22.4"/>
    <x v="4"/>
    <s v="Completed"/>
    <x v="1"/>
    <n v="33"/>
    <s v="No"/>
    <n v="2025"/>
    <n v="1"/>
    <n v="5.9334782608695651"/>
    <n v="1"/>
  </r>
  <r>
    <s v="S00456"/>
    <s v="P8176"/>
    <s v="tgill"/>
    <x v="0"/>
    <x v="0"/>
    <x v="4"/>
    <d v="2025-03-19T00:00:00"/>
    <n v="132"/>
    <n v="28.89"/>
    <x v="3"/>
    <s v="Completed"/>
    <x v="1"/>
    <n v="26"/>
    <s v="No"/>
    <n v="2025"/>
    <n v="3"/>
    <n v="5.5675555555555558"/>
    <n v="1"/>
  </r>
  <r>
    <s v="S00457"/>
    <s v="P5820"/>
    <s v="lindagalloway"/>
    <x v="4"/>
    <x v="1"/>
    <x v="3"/>
    <d v="2024-12-29T00:00:00"/>
    <n v="113"/>
    <n v="0"/>
    <x v="0"/>
    <s v="Completed"/>
    <x v="0"/>
    <n v="17"/>
    <s v="No"/>
    <n v="2024"/>
    <n v="12"/>
    <n v="5.0375000000000005"/>
    <n v="1"/>
  </r>
  <r>
    <s v="S00458"/>
    <s v="P8552"/>
    <s v="jbriggs"/>
    <x v="3"/>
    <x v="0"/>
    <x v="4"/>
    <d v="2025-01-09T00:00:00"/>
    <n v="92"/>
    <n v="0"/>
    <x v="0"/>
    <s v="Completed"/>
    <x v="0"/>
    <n v="33"/>
    <s v="No"/>
    <n v="2025"/>
    <n v="1"/>
    <n v="5.1546511627906977"/>
    <n v="1"/>
  </r>
  <r>
    <s v="S00459"/>
    <s v="P5695"/>
    <s v="danielleonard"/>
    <x v="3"/>
    <x v="0"/>
    <x v="1"/>
    <d v="2024-12-28T00:00:00"/>
    <n v="44"/>
    <n v="0"/>
    <x v="0"/>
    <s v="Completed"/>
    <x v="0"/>
    <n v="21"/>
    <s v="No"/>
    <n v="2024"/>
    <n v="12"/>
    <n v="5.2773809523809527"/>
    <n v="1"/>
  </r>
  <r>
    <s v="S00460"/>
    <s v="P6581"/>
    <s v="ramirezandrea"/>
    <x v="2"/>
    <x v="1"/>
    <x v="5"/>
    <d v="2025-03-06T00:00:00"/>
    <n v="17"/>
    <n v="0"/>
    <x v="0"/>
    <s v="Completed"/>
    <x v="0"/>
    <n v="1"/>
    <s v="No"/>
    <n v="2025"/>
    <n v="3"/>
    <n v="5.4060975609756099"/>
    <n v="1"/>
  </r>
  <r>
    <s v="S00461"/>
    <s v="P4636"/>
    <s v="jeffreyjohnson"/>
    <x v="2"/>
    <x v="2"/>
    <x v="0"/>
    <d v="2025-02-02T00:00:00"/>
    <n v="52"/>
    <n v="0"/>
    <x v="0"/>
    <s v="Exited Early"/>
    <x v="0"/>
    <n v="19"/>
    <s v="No"/>
    <n v="2025"/>
    <n v="2"/>
    <n v="5.5412499999999998"/>
    <n v="0"/>
  </r>
  <r>
    <s v="S00462"/>
    <s v="P2853"/>
    <s v="dannyforbes"/>
    <x v="4"/>
    <x v="1"/>
    <x v="5"/>
    <d v="2025-01-19T00:00:00"/>
    <n v="51"/>
    <n v="20.97"/>
    <x v="4"/>
    <s v="Completed"/>
    <x v="1"/>
    <n v="31"/>
    <s v="No"/>
    <n v="2025"/>
    <n v="1"/>
    <n v="5.6833333333333336"/>
    <n v="1"/>
  </r>
  <r>
    <s v="S00463"/>
    <s v="P3252"/>
    <s v="wallacedebra"/>
    <x v="0"/>
    <x v="2"/>
    <x v="2"/>
    <d v="2025-02-06T00:00:00"/>
    <n v="94"/>
    <n v="0"/>
    <x v="0"/>
    <s v="Completed"/>
    <x v="0"/>
    <n v="43"/>
    <s v="No"/>
    <n v="2025"/>
    <n v="2"/>
    <n v="5.2810526315789472"/>
    <n v="1"/>
  </r>
  <r>
    <s v="S00464"/>
    <s v="P2743"/>
    <s v="jennifersmith"/>
    <x v="4"/>
    <x v="1"/>
    <x v="5"/>
    <d v="2025-05-05T00:00:00"/>
    <n v="63"/>
    <n v="0"/>
    <x v="0"/>
    <s v="Completed"/>
    <x v="1"/>
    <n v="43"/>
    <s v="No"/>
    <n v="2025"/>
    <n v="5"/>
    <n v="5.423783783783783"/>
    <n v="1"/>
  </r>
  <r>
    <s v="S00465"/>
    <s v="P1878"/>
    <s v="steven19"/>
    <x v="4"/>
    <x v="1"/>
    <x v="3"/>
    <d v="2025-03-09T00:00:00"/>
    <n v="172"/>
    <n v="0"/>
    <x v="0"/>
    <s v="Completed"/>
    <x v="0"/>
    <n v="15"/>
    <s v="Yes"/>
    <n v="2025"/>
    <n v="3"/>
    <n v="5.5744444444444436"/>
    <n v="1"/>
  </r>
  <r>
    <s v="S00466"/>
    <s v="P1450"/>
    <s v="jacob95"/>
    <x v="1"/>
    <x v="0"/>
    <x v="1"/>
    <d v="2024-12-25T00:00:00"/>
    <n v="38"/>
    <n v="0"/>
    <x v="0"/>
    <s v="Exited Early"/>
    <x v="0"/>
    <n v="23"/>
    <s v="No"/>
    <n v="2024"/>
    <n v="12"/>
    <n v="5.7337142857142851"/>
    <n v="0"/>
  </r>
  <r>
    <s v="S00467"/>
    <s v="P3228"/>
    <s v="mlewis"/>
    <x v="3"/>
    <x v="0"/>
    <x v="3"/>
    <d v="2024-12-28T00:00:00"/>
    <n v="132"/>
    <n v="18"/>
    <x v="3"/>
    <s v="Crashed"/>
    <x v="1"/>
    <n v="3"/>
    <s v="No"/>
    <n v="2024"/>
    <n v="12"/>
    <n v="5.9023529411764697"/>
    <n v="0"/>
  </r>
  <r>
    <s v="S00468"/>
    <s v="P9747"/>
    <s v="charles59"/>
    <x v="4"/>
    <x v="1"/>
    <x v="5"/>
    <d v="2025-05-22T00:00:00"/>
    <n v="164"/>
    <n v="0"/>
    <x v="0"/>
    <s v="Incomplete"/>
    <x v="0"/>
    <n v="40"/>
    <s v="Yes"/>
    <n v="2025"/>
    <n v="5"/>
    <n v="5.5357575757575752"/>
    <n v="0"/>
  </r>
  <r>
    <s v="S00469"/>
    <s v="P2925"/>
    <s v="kgonzalez"/>
    <x v="3"/>
    <x v="1"/>
    <x v="0"/>
    <d v="2025-01-08T00:00:00"/>
    <n v="166"/>
    <n v="23.59"/>
    <x v="3"/>
    <s v="Completed"/>
    <x v="1"/>
    <n v="19"/>
    <s v="Yes"/>
    <n v="2025"/>
    <n v="1"/>
    <n v="5.7087499999999993"/>
    <n v="1"/>
  </r>
  <r>
    <s v="S00470"/>
    <s v="P9769"/>
    <s v="marcus01"/>
    <x v="4"/>
    <x v="0"/>
    <x v="0"/>
    <d v="2025-05-11T00:00:00"/>
    <n v="73"/>
    <n v="0"/>
    <x v="0"/>
    <s v="Completed"/>
    <x v="0"/>
    <n v="46"/>
    <s v="No"/>
    <n v="2025"/>
    <n v="5"/>
    <n v="5.1319354838709677"/>
    <n v="1"/>
  </r>
  <r>
    <s v="S00471"/>
    <s v="P2833"/>
    <s v="leonwells"/>
    <x v="0"/>
    <x v="2"/>
    <x v="1"/>
    <d v="2025-04-02T00:00:00"/>
    <n v="55"/>
    <n v="40.58"/>
    <x v="2"/>
    <s v="Completed"/>
    <x v="1"/>
    <n v="14"/>
    <s v="Yes"/>
    <n v="2025"/>
    <n v="4"/>
    <n v="5.3029999999999999"/>
    <n v="1"/>
  </r>
  <r>
    <s v="S00472"/>
    <s v="P7312"/>
    <s v="erika85"/>
    <x v="4"/>
    <x v="0"/>
    <x v="4"/>
    <d v="2025-05-31T00:00:00"/>
    <n v="22"/>
    <n v="0"/>
    <x v="0"/>
    <s v="Completed"/>
    <x v="0"/>
    <n v="36"/>
    <s v="No"/>
    <n v="2025"/>
    <n v="5"/>
    <n v="4.086551724137931"/>
    <n v="1"/>
  </r>
  <r>
    <s v="S00473"/>
    <s v="P3023"/>
    <s v="jonathonmayer"/>
    <x v="0"/>
    <x v="1"/>
    <x v="3"/>
    <d v="2025-06-03T00:00:00"/>
    <n v="56"/>
    <n v="0"/>
    <x v="0"/>
    <s v="Completed"/>
    <x v="0"/>
    <n v="34"/>
    <s v="No"/>
    <n v="2025"/>
    <n v="6"/>
    <n v="4.2324999999999999"/>
    <n v="1"/>
  </r>
  <r>
    <s v="S00474"/>
    <s v="P4635"/>
    <s v="nicholas43"/>
    <x v="2"/>
    <x v="1"/>
    <x v="0"/>
    <d v="2025-03-26T00:00:00"/>
    <n v="9"/>
    <n v="0"/>
    <x v="0"/>
    <s v="Completed"/>
    <x v="0"/>
    <n v="21"/>
    <s v="No"/>
    <n v="2025"/>
    <n v="3"/>
    <n v="4.3892592592592594"/>
    <n v="1"/>
  </r>
  <r>
    <s v="S00475"/>
    <s v="P8912"/>
    <s v="paula25"/>
    <x v="0"/>
    <x v="1"/>
    <x v="5"/>
    <d v="2025-02-26T00:00:00"/>
    <n v="54"/>
    <n v="19.649999999999999"/>
    <x v="4"/>
    <s v="Completed"/>
    <x v="1"/>
    <n v="38"/>
    <s v="No"/>
    <n v="2025"/>
    <n v="2"/>
    <n v="4.5580769230769231"/>
    <n v="1"/>
  </r>
  <r>
    <s v="S00476"/>
    <s v="P9766"/>
    <s v="smithcarrie"/>
    <x v="1"/>
    <x v="1"/>
    <x v="4"/>
    <d v="2025-02-05T00:00:00"/>
    <n v="85"/>
    <n v="0"/>
    <x v="0"/>
    <s v="Incomplete"/>
    <x v="1"/>
    <n v="12"/>
    <s v="No"/>
    <n v="2025"/>
    <n v="2"/>
    <n v="3.9544000000000006"/>
    <n v="0"/>
  </r>
  <r>
    <s v="S00477"/>
    <s v="P2059"/>
    <s v="valenzuelakim"/>
    <x v="0"/>
    <x v="2"/>
    <x v="2"/>
    <d v="2025-01-16T00:00:00"/>
    <n v="111"/>
    <n v="0"/>
    <x v="0"/>
    <s v="Completed"/>
    <x v="0"/>
    <n v="38"/>
    <s v="No"/>
    <n v="2025"/>
    <n v="1"/>
    <n v="4.1191666666666675"/>
    <n v="1"/>
  </r>
  <r>
    <s v="S00478"/>
    <s v="P3378"/>
    <s v="adamsbarbara"/>
    <x v="2"/>
    <x v="0"/>
    <x v="4"/>
    <d v="2025-05-18T00:00:00"/>
    <n v="93"/>
    <n v="0"/>
    <x v="0"/>
    <s v="Completed"/>
    <x v="0"/>
    <n v="26"/>
    <s v="No"/>
    <n v="2025"/>
    <n v="5"/>
    <n v="4.298260869565218"/>
    <n v="1"/>
  </r>
  <r>
    <s v="S00479"/>
    <s v="P5699"/>
    <s v="cathy10"/>
    <x v="2"/>
    <x v="0"/>
    <x v="1"/>
    <d v="2025-05-23T00:00:00"/>
    <n v="103"/>
    <n v="0"/>
    <x v="0"/>
    <s v="Completed"/>
    <x v="0"/>
    <n v="11"/>
    <s v="No"/>
    <n v="2025"/>
    <n v="5"/>
    <n v="4.4936363636363641"/>
    <n v="1"/>
  </r>
  <r>
    <s v="S00480"/>
    <s v="P7340"/>
    <s v="rogersmary"/>
    <x v="0"/>
    <x v="0"/>
    <x v="5"/>
    <d v="2025-04-26T00:00:00"/>
    <n v="44"/>
    <n v="0"/>
    <x v="0"/>
    <s v="Incomplete"/>
    <x v="0"/>
    <n v="29"/>
    <s v="No"/>
    <n v="2025"/>
    <n v="4"/>
    <n v="4.7076190476190485"/>
    <n v="0"/>
  </r>
  <r>
    <s v="S00481"/>
    <s v="P5458"/>
    <s v="georgejones"/>
    <x v="4"/>
    <x v="2"/>
    <x v="3"/>
    <d v="2025-02-01T00:00:00"/>
    <n v="134"/>
    <n v="0"/>
    <x v="0"/>
    <s v="Completed"/>
    <x v="0"/>
    <n v="41"/>
    <s v="No"/>
    <n v="2025"/>
    <n v="2"/>
    <n v="4.9430000000000005"/>
    <n v="1"/>
  </r>
  <r>
    <s v="S00482"/>
    <s v="P6129"/>
    <s v="donna27"/>
    <x v="1"/>
    <x v="1"/>
    <x v="3"/>
    <d v="2025-05-27T00:00:00"/>
    <n v="167"/>
    <n v="0"/>
    <x v="0"/>
    <s v="Completed"/>
    <x v="0"/>
    <n v="28"/>
    <s v="Yes"/>
    <n v="2025"/>
    <n v="5"/>
    <n v="5.2031578947368429"/>
    <n v="1"/>
  </r>
  <r>
    <s v="S00483"/>
    <s v="P6524"/>
    <s v="jhayes"/>
    <x v="1"/>
    <x v="1"/>
    <x v="3"/>
    <d v="2025-03-01T00:00:00"/>
    <n v="149"/>
    <n v="5.05"/>
    <x v="1"/>
    <s v="Completed"/>
    <x v="1"/>
    <n v="44"/>
    <s v="No"/>
    <n v="2025"/>
    <n v="3"/>
    <n v="5.4922222222222228"/>
    <n v="1"/>
  </r>
  <r>
    <s v="S00484"/>
    <s v="P3747"/>
    <s v="neallisa"/>
    <x v="0"/>
    <x v="2"/>
    <x v="5"/>
    <d v="2025-04-16T00:00:00"/>
    <n v="139"/>
    <n v="0"/>
    <x v="0"/>
    <s v="Completed"/>
    <x v="0"/>
    <n v="19"/>
    <s v="No"/>
    <n v="2025"/>
    <n v="4"/>
    <n v="5.5182352941176473"/>
    <n v="1"/>
  </r>
  <r>
    <s v="S00485"/>
    <s v="P3923"/>
    <s v="evanskristen"/>
    <x v="3"/>
    <x v="1"/>
    <x v="0"/>
    <d v="2025-03-09T00:00:00"/>
    <n v="64"/>
    <n v="0"/>
    <x v="0"/>
    <s v="Crashed"/>
    <x v="0"/>
    <n v="33"/>
    <s v="No"/>
    <n v="2025"/>
    <n v="3"/>
    <n v="5.8631250000000001"/>
    <n v="0"/>
  </r>
  <r>
    <s v="S00486"/>
    <s v="P1788"/>
    <s v="bhenson"/>
    <x v="2"/>
    <x v="2"/>
    <x v="0"/>
    <d v="2025-04-01T00:00:00"/>
    <n v="86"/>
    <n v="0"/>
    <x v="0"/>
    <s v="Completed"/>
    <x v="0"/>
    <n v="17"/>
    <s v="No"/>
    <n v="2025"/>
    <n v="4"/>
    <n v="6.2540000000000004"/>
    <n v="1"/>
  </r>
  <r>
    <s v="S00487"/>
    <s v="P2044"/>
    <s v="hgardner"/>
    <x v="2"/>
    <x v="1"/>
    <x v="0"/>
    <d v="2025-04-17T00:00:00"/>
    <n v="13"/>
    <n v="0"/>
    <x v="0"/>
    <s v="Completed"/>
    <x v="0"/>
    <n v="47"/>
    <s v="No"/>
    <n v="2025"/>
    <n v="4"/>
    <n v="6.7007142857142856"/>
    <n v="1"/>
  </r>
  <r>
    <s v="S00488"/>
    <s v="P1977"/>
    <s v="mckinneychristopher"/>
    <x v="2"/>
    <x v="1"/>
    <x v="0"/>
    <d v="2025-06-13T00:00:00"/>
    <n v="11"/>
    <n v="20.66"/>
    <x v="3"/>
    <s v="Completed"/>
    <x v="1"/>
    <n v="40"/>
    <s v="No"/>
    <n v="2025"/>
    <n v="6"/>
    <n v="7.2161538461538459"/>
    <n v="1"/>
  </r>
  <r>
    <s v="S00489"/>
    <s v="P1280"/>
    <s v="elizabeth71"/>
    <x v="0"/>
    <x v="1"/>
    <x v="4"/>
    <d v="2025-01-05T00:00:00"/>
    <n v="55"/>
    <n v="0"/>
    <x v="0"/>
    <s v="Exited Early"/>
    <x v="0"/>
    <n v="26"/>
    <s v="No"/>
    <n v="2025"/>
    <n v="1"/>
    <n v="6.0958333333333341"/>
    <n v="0"/>
  </r>
  <r>
    <s v="S00490"/>
    <s v="P9973"/>
    <s v="ilambert"/>
    <x v="3"/>
    <x v="0"/>
    <x v="5"/>
    <d v="2025-05-16T00:00:00"/>
    <n v="146"/>
    <n v="0"/>
    <x v="0"/>
    <s v="Crashed"/>
    <x v="0"/>
    <n v="2"/>
    <s v="No"/>
    <n v="2025"/>
    <n v="5"/>
    <n v="6.65"/>
    <n v="0"/>
  </r>
  <r>
    <s v="S00491"/>
    <s v="P8692"/>
    <s v="millerdonald"/>
    <x v="3"/>
    <x v="2"/>
    <x v="4"/>
    <d v="2025-05-20T00:00:00"/>
    <n v="179"/>
    <n v="0"/>
    <x v="0"/>
    <s v="Completed"/>
    <x v="0"/>
    <n v="10"/>
    <s v="Yes"/>
    <n v="2025"/>
    <n v="5"/>
    <n v="7.3150000000000004"/>
    <n v="1"/>
  </r>
  <r>
    <s v="S00492"/>
    <s v="P6606"/>
    <s v="krogers"/>
    <x v="2"/>
    <x v="2"/>
    <x v="2"/>
    <d v="2025-03-22T00:00:00"/>
    <n v="63"/>
    <n v="0"/>
    <x v="0"/>
    <s v="Completed"/>
    <x v="0"/>
    <n v="4"/>
    <s v="No"/>
    <n v="2025"/>
    <n v="3"/>
    <n v="8.1277777777777782"/>
    <n v="1"/>
  </r>
  <r>
    <s v="S00493"/>
    <s v="P2133"/>
    <s v="scott72"/>
    <x v="1"/>
    <x v="2"/>
    <x v="0"/>
    <d v="2025-04-30T00:00:00"/>
    <n v="21"/>
    <n v="0"/>
    <x v="0"/>
    <s v="Completed"/>
    <x v="0"/>
    <n v="22"/>
    <s v="No"/>
    <n v="2025"/>
    <n v="4"/>
    <n v="9.1437500000000007"/>
    <n v="1"/>
  </r>
  <r>
    <s v="S00494"/>
    <s v="P3534"/>
    <s v="simsalexis"/>
    <x v="3"/>
    <x v="2"/>
    <x v="0"/>
    <d v="2025-04-16T00:00:00"/>
    <n v="56"/>
    <n v="46.31"/>
    <x v="4"/>
    <s v="Completed"/>
    <x v="1"/>
    <n v="11"/>
    <s v="Yes"/>
    <n v="2025"/>
    <n v="4"/>
    <n v="10.450000000000001"/>
    <n v="1"/>
  </r>
  <r>
    <s v="S00495"/>
    <s v="P7831"/>
    <s v="kingsandra"/>
    <x v="4"/>
    <x v="0"/>
    <x v="5"/>
    <d v="2025-01-15T00:00:00"/>
    <n v="171"/>
    <n v="0"/>
    <x v="0"/>
    <s v="Completed"/>
    <x v="0"/>
    <n v="35"/>
    <s v="Yes"/>
    <n v="2025"/>
    <n v="1"/>
    <n v="4.4733333333333336"/>
    <n v="1"/>
  </r>
  <r>
    <s v="S00496"/>
    <s v="P2872"/>
    <s v="april12"/>
    <x v="0"/>
    <x v="1"/>
    <x v="2"/>
    <d v="2025-03-27T00:00:00"/>
    <n v="24"/>
    <n v="0"/>
    <x v="0"/>
    <s v="Completed"/>
    <x v="1"/>
    <n v="33"/>
    <s v="No"/>
    <n v="2025"/>
    <n v="3"/>
    <n v="5.3680000000000003"/>
    <n v="1"/>
  </r>
  <r>
    <s v="S00497"/>
    <s v="P1457"/>
    <s v="turnersusan"/>
    <x v="4"/>
    <x v="1"/>
    <x v="5"/>
    <d v="2025-02-14T00:00:00"/>
    <n v="157"/>
    <n v="26.84"/>
    <x v="1"/>
    <s v="Completed"/>
    <x v="1"/>
    <n v="25"/>
    <s v="Yes"/>
    <n v="2025"/>
    <n v="2"/>
    <n v="6.71"/>
    <n v="1"/>
  </r>
  <r>
    <s v="S00498"/>
    <s v="P6771"/>
    <s v="kenneth92"/>
    <x v="0"/>
    <x v="2"/>
    <x v="5"/>
    <d v="2025-01-18T00:00:00"/>
    <n v="44"/>
    <n v="0"/>
    <x v="0"/>
    <s v="Completed"/>
    <x v="0"/>
    <n v="42"/>
    <s v="No"/>
    <n v="2025"/>
    <n v="1"/>
    <n v="0"/>
    <n v="1"/>
  </r>
  <r>
    <s v="S00499"/>
    <s v="P1107"/>
    <s v="victoria57"/>
    <x v="3"/>
    <x v="1"/>
    <x v="4"/>
    <d v="2025-01-03T00:00:00"/>
    <n v="172"/>
    <n v="0"/>
    <x v="0"/>
    <s v="Exited Early"/>
    <x v="0"/>
    <n v="4"/>
    <s v="Yes"/>
    <n v="2025"/>
    <n v="1"/>
    <n v="0"/>
    <n v="0"/>
  </r>
  <r>
    <s v="S00500"/>
    <s v="P4402"/>
    <s v="fnolan"/>
    <x v="0"/>
    <x v="0"/>
    <x v="2"/>
    <d v="2024-12-30T00:00:00"/>
    <n v="20"/>
    <n v="0"/>
    <x v="0"/>
    <s v="Completed"/>
    <x v="1"/>
    <n v="30"/>
    <s v="No"/>
    <n v="2024"/>
    <n v="12"/>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F12:G19" firstHeaderRow="1" firstDataRow="1" firstDataCol="1"/>
  <pivotFields count="20">
    <pivotField dataField="1" showAll="0"/>
    <pivotField showAll="0"/>
    <pivotField showAll="0"/>
    <pivotField showAll="0"/>
    <pivotField showAll="0">
      <items count="4">
        <item x="0"/>
        <item x="1"/>
        <item x="2"/>
        <item t="default"/>
      </items>
    </pivotField>
    <pivotField axis="axisRow" showAll="0">
      <items count="7">
        <item x="1"/>
        <item x="0"/>
        <item x="2"/>
        <item x="3"/>
        <item x="4"/>
        <item x="5"/>
        <item t="default"/>
      </items>
    </pivotField>
    <pivotField numFmtId="14" showAll="0">
      <items count="15">
        <item x="0"/>
        <item x="1"/>
        <item x="2"/>
        <item x="3"/>
        <item x="4"/>
        <item x="5"/>
        <item x="6"/>
        <item x="7"/>
        <item x="8"/>
        <item x="9"/>
        <item x="10"/>
        <item x="11"/>
        <item x="12"/>
        <item x="13"/>
        <item t="default"/>
      </items>
    </pivotField>
    <pivotField numFmtId="1" showAll="0"/>
    <pivotField numFmtId="2" showAll="0"/>
    <pivotField showAll="0">
      <items count="6">
        <item x="3"/>
        <item x="1"/>
        <item x="0"/>
        <item x="4"/>
        <item x="2"/>
        <item t="default"/>
      </items>
    </pivotField>
    <pivotField showAll="0"/>
    <pivotField showAll="0">
      <items count="3">
        <item x="0"/>
        <item x="1"/>
        <item t="default"/>
      </items>
    </pivotField>
    <pivotField showAll="0"/>
    <pivotField showAll="0"/>
    <pivotField showAll="0"/>
    <pivotField showAll="0"/>
    <pivotField numFmtId="2" showAll="0"/>
    <pivotField showAll="0"/>
    <pivotField showAll="0"/>
    <pivotField showAll="0" defaultSubtotal="0">
      <items count="4">
        <item x="0"/>
        <item x="1"/>
        <item x="2"/>
        <item x="3"/>
      </items>
    </pivotField>
  </pivotFields>
  <rowFields count="1">
    <field x="5"/>
  </rowFields>
  <rowItems count="7">
    <i>
      <x/>
    </i>
    <i>
      <x v="1"/>
    </i>
    <i>
      <x v="2"/>
    </i>
    <i>
      <x v="3"/>
    </i>
    <i>
      <x v="4"/>
    </i>
    <i>
      <x v="5"/>
    </i>
    <i t="grand">
      <x/>
    </i>
  </rowItems>
  <colItems count="1">
    <i/>
  </colItems>
  <dataFields count="1">
    <dataField name="Count of Sess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F64:G69" firstHeaderRow="1" firstDataRow="1" firstDataCol="1"/>
  <pivotFields count="20">
    <pivotField dataField="1" showAll="0"/>
    <pivotField showAll="0"/>
    <pivotField showAll="0"/>
    <pivotField showAll="0"/>
    <pivotField showAll="0">
      <items count="4">
        <item x="0"/>
        <item x="1"/>
        <item x="2"/>
        <item t="default"/>
      </items>
    </pivotField>
    <pivotField showAll="0">
      <items count="7">
        <item x="1"/>
        <item x="0"/>
        <item x="2"/>
        <item x="3"/>
        <item x="4"/>
        <item x="5"/>
        <item t="default"/>
      </items>
    </pivotField>
    <pivotField numFmtId="14" showAll="0"/>
    <pivotField numFmtId="1" showAll="0"/>
    <pivotField numFmtId="2" showAll="0"/>
    <pivotField showAll="0">
      <items count="6">
        <item x="3"/>
        <item x="1"/>
        <item x="0"/>
        <item x="4"/>
        <item x="2"/>
        <item t="default"/>
      </items>
    </pivotField>
    <pivotField axis="axisRow" showAll="0">
      <items count="5">
        <item x="0"/>
        <item x="1"/>
        <item x="2"/>
        <item x="3"/>
        <item t="default"/>
      </items>
    </pivotField>
    <pivotField showAll="0">
      <items count="3">
        <item x="0"/>
        <item x="1"/>
        <item t="default"/>
      </items>
    </pivotField>
    <pivotField showAll="0"/>
    <pivotField showAll="0"/>
    <pivotField showAll="0"/>
    <pivotField showAll="0"/>
    <pivotField numFmtId="2" showAll="0"/>
    <pivotField showAll="0"/>
    <pivotField showAll="0"/>
    <pivotField showAll="0" defaultSubtotal="0">
      <items count="4">
        <item x="0"/>
        <item x="1"/>
        <item x="2"/>
        <item x="3"/>
      </items>
    </pivotField>
  </pivotFields>
  <rowFields count="1">
    <field x="10"/>
  </rowFields>
  <rowItems count="5">
    <i>
      <x/>
    </i>
    <i>
      <x v="1"/>
    </i>
    <i>
      <x v="2"/>
    </i>
    <i>
      <x v="3"/>
    </i>
    <i t="grand">
      <x/>
    </i>
  </rowItems>
  <colItems count="1">
    <i/>
  </colItems>
  <dataFields count="1">
    <dataField name="Count of Session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2:B18" firstHeaderRow="1" firstDataRow="1" firstDataCol="1"/>
  <pivotFields count="18">
    <pivotField showAll="0"/>
    <pivotField showAll="0"/>
    <pivotField showAll="0"/>
    <pivotField axis="axisRow" showAll="0">
      <items count="6">
        <item x="0"/>
        <item x="3"/>
        <item x="4"/>
        <item x="2"/>
        <item x="1"/>
        <item t="default"/>
      </items>
    </pivotField>
    <pivotField showAll="0">
      <items count="4">
        <item x="0"/>
        <item x="1"/>
        <item x="2"/>
        <item t="default"/>
      </items>
    </pivotField>
    <pivotField showAll="0">
      <items count="7">
        <item x="1"/>
        <item x="0"/>
        <item x="2"/>
        <item x="3"/>
        <item x="4"/>
        <item x="5"/>
        <item t="default"/>
      </items>
    </pivotField>
    <pivotField numFmtId="14" showAll="0"/>
    <pivotField numFmtId="1" showAll="0"/>
    <pivotField numFmtId="2" showAll="0"/>
    <pivotField showAll="0">
      <items count="6">
        <item x="3"/>
        <item x="1"/>
        <item x="0"/>
        <item x="4"/>
        <item x="2"/>
        <item t="default"/>
      </items>
    </pivotField>
    <pivotField showAll="0"/>
    <pivotField showAll="0">
      <items count="3">
        <item x="0"/>
        <item x="1"/>
        <item t="default"/>
      </items>
    </pivotField>
    <pivotField showAll="0"/>
    <pivotField showAll="0"/>
    <pivotField showAll="0"/>
    <pivotField showAll="0"/>
    <pivotField numFmtId="2" showAll="0"/>
    <pivotField dataField="1" showAll="0"/>
  </pivotFields>
  <rowFields count="1">
    <field x="3"/>
  </rowFields>
  <rowItems count="6">
    <i>
      <x/>
    </i>
    <i>
      <x v="1"/>
    </i>
    <i>
      <x v="2"/>
    </i>
    <i>
      <x v="3"/>
    </i>
    <i>
      <x v="4"/>
    </i>
    <i t="grand">
      <x/>
    </i>
  </rowItems>
  <colItems count="1">
    <i/>
  </colItems>
  <dataFields count="1">
    <dataField name="Average of SuccessFlag" fld="17" subtotal="average" baseField="3" baseItem="0"/>
  </dataFields>
  <formats count="3">
    <format dxfId="14">
      <pivotArea grandRow="1" grandCol="1" outline="0" collapsedLevelsAreSubtotals="1" fieldPosition="0"/>
    </format>
    <format dxfId="13">
      <pivotArea collapsedLevelsAreSubtotals="1" fieldPosition="0">
        <references count="1">
          <reference field="3" count="0"/>
        </references>
      </pivotArea>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F41:G60" firstHeaderRow="1" firstDataRow="1" firstDataCol="1"/>
  <pivotFields count="20">
    <pivotField showAll="0"/>
    <pivotField showAll="0"/>
    <pivotField showAll="0"/>
    <pivotField showAll="0"/>
    <pivotField showAll="0">
      <items count="4">
        <item x="0"/>
        <item x="1"/>
        <item x="2"/>
        <item t="default"/>
      </items>
    </pivotField>
    <pivotField axis="axisRow" showAll="0">
      <items count="7">
        <item x="1"/>
        <item x="0"/>
        <item x="2"/>
        <item x="3"/>
        <item x="4"/>
        <item x="5"/>
        <item t="default"/>
      </items>
    </pivotField>
    <pivotField numFmtId="14" showAll="0"/>
    <pivotField numFmtId="1" showAll="0"/>
    <pivotField numFmtId="2" showAll="0"/>
    <pivotField showAll="0">
      <items count="6">
        <item x="3"/>
        <item x="1"/>
        <item x="0"/>
        <item x="4"/>
        <item x="2"/>
        <item t="default"/>
      </items>
    </pivotField>
    <pivotField showAll="0"/>
    <pivotField showAll="0">
      <items count="3">
        <item x="0"/>
        <item x="1"/>
        <item t="default"/>
      </items>
    </pivotField>
    <pivotField showAll="0"/>
    <pivotField showAll="0"/>
    <pivotField showAll="0"/>
    <pivotField showAll="0"/>
    <pivotField numFmtId="2" showAll="0"/>
    <pivotField showAll="0"/>
    <pivotField axis="axisRow" dataField="1" showAll="0">
      <items count="3">
        <item x="1"/>
        <item x="0"/>
        <item t="default"/>
      </items>
    </pivotField>
    <pivotField showAll="0" defaultSubtotal="0">
      <items count="4">
        <item x="0"/>
        <item x="1"/>
        <item x="2"/>
        <item x="3"/>
      </items>
    </pivotField>
  </pivotFields>
  <rowFields count="2">
    <field x="5"/>
    <field x="18"/>
  </rowFields>
  <rowItems count="19">
    <i>
      <x/>
    </i>
    <i r="1">
      <x/>
    </i>
    <i r="1">
      <x v="1"/>
    </i>
    <i>
      <x v="1"/>
    </i>
    <i r="1">
      <x/>
    </i>
    <i r="1">
      <x v="1"/>
    </i>
    <i>
      <x v="2"/>
    </i>
    <i r="1">
      <x/>
    </i>
    <i r="1">
      <x v="1"/>
    </i>
    <i>
      <x v="3"/>
    </i>
    <i r="1">
      <x/>
    </i>
    <i r="1">
      <x v="1"/>
    </i>
    <i>
      <x v="4"/>
    </i>
    <i r="1">
      <x/>
    </i>
    <i r="1">
      <x v="1"/>
    </i>
    <i>
      <x v="5"/>
    </i>
    <i r="1">
      <x/>
    </i>
    <i r="1">
      <x v="1"/>
    </i>
    <i t="grand">
      <x/>
    </i>
  </rowItems>
  <colItems count="1">
    <i/>
  </colItems>
  <dataFields count="1">
    <dataField name="Count of Suspicious Flag" fld="18"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C148" firstHeaderRow="0" firstDataRow="1" firstDataCol="1"/>
  <pivotFields count="20">
    <pivotField showAll="0"/>
    <pivotField showAll="0"/>
    <pivotField showAll="0"/>
    <pivotField axis="axisRow" showAll="0">
      <items count="6">
        <item x="0"/>
        <item x="3"/>
        <item x="4"/>
        <item x="2"/>
        <item x="1"/>
        <item t="default"/>
      </items>
    </pivotField>
    <pivotField axis="axisRow" showAll="0">
      <items count="4">
        <item x="0"/>
        <item x="1"/>
        <item x="2"/>
        <item t="default"/>
      </items>
    </pivotField>
    <pivotField axis="axisRow" showAll="0">
      <items count="7">
        <item x="1"/>
        <item x="0"/>
        <item x="2"/>
        <item x="3"/>
        <item x="4"/>
        <item x="5"/>
        <item t="default"/>
      </items>
    </pivotField>
    <pivotField numFmtId="14" showAll="0">
      <items count="15">
        <item x="0"/>
        <item x="1"/>
        <item x="2"/>
        <item x="3"/>
        <item x="4"/>
        <item x="5"/>
        <item x="6"/>
        <item x="7"/>
        <item x="8"/>
        <item x="9"/>
        <item x="10"/>
        <item x="11"/>
        <item x="12"/>
        <item x="13"/>
        <item t="default"/>
      </items>
    </pivotField>
    <pivotField dataField="1" numFmtId="1" showAll="0"/>
    <pivotField dataField="1" numFmtId="2" showAll="0"/>
    <pivotField showAll="0">
      <items count="6">
        <item x="3"/>
        <item x="1"/>
        <item x="0"/>
        <item x="4"/>
        <item x="2"/>
        <item t="default"/>
      </items>
    </pivotField>
    <pivotField showAll="0"/>
    <pivotField showAll="0">
      <items count="3">
        <item x="0"/>
        <item x="1"/>
        <item t="default"/>
      </items>
    </pivotField>
    <pivotField showAll="0"/>
    <pivotField showAll="0"/>
    <pivotField showAll="0"/>
    <pivotField showAll="0"/>
    <pivotField numFmtId="2" showAll="0"/>
    <pivotField showAll="0"/>
    <pivotField showAll="0"/>
    <pivotField showAll="0" defaultSubtotal="0">
      <items count="4">
        <item x="0"/>
        <item x="1"/>
        <item x="2"/>
        <item x="3"/>
      </items>
    </pivotField>
  </pivotFields>
  <rowFields count="3">
    <field x="5"/>
    <field x="3"/>
    <field x="4"/>
  </rowFields>
  <rowItems count="127">
    <i>
      <x/>
    </i>
    <i r="1">
      <x/>
    </i>
    <i r="2">
      <x/>
    </i>
    <i r="2">
      <x v="1"/>
    </i>
    <i r="2">
      <x v="2"/>
    </i>
    <i r="1">
      <x v="1"/>
    </i>
    <i r="2">
      <x/>
    </i>
    <i r="2">
      <x v="1"/>
    </i>
    <i r="2">
      <x v="2"/>
    </i>
    <i r="1">
      <x v="2"/>
    </i>
    <i r="2">
      <x/>
    </i>
    <i r="2">
      <x v="1"/>
    </i>
    <i r="2">
      <x v="2"/>
    </i>
    <i r="1">
      <x v="3"/>
    </i>
    <i r="2">
      <x/>
    </i>
    <i r="2">
      <x v="1"/>
    </i>
    <i r="2">
      <x v="2"/>
    </i>
    <i r="1">
      <x v="4"/>
    </i>
    <i r="2">
      <x/>
    </i>
    <i r="2">
      <x v="1"/>
    </i>
    <i r="2">
      <x v="2"/>
    </i>
    <i>
      <x v="1"/>
    </i>
    <i r="1">
      <x/>
    </i>
    <i r="2">
      <x/>
    </i>
    <i r="2">
      <x v="1"/>
    </i>
    <i r="2">
      <x v="2"/>
    </i>
    <i r="1">
      <x v="1"/>
    </i>
    <i r="2">
      <x/>
    </i>
    <i r="2">
      <x v="1"/>
    </i>
    <i r="2">
      <x v="2"/>
    </i>
    <i r="1">
      <x v="2"/>
    </i>
    <i r="2">
      <x/>
    </i>
    <i r="2">
      <x v="1"/>
    </i>
    <i r="2">
      <x v="2"/>
    </i>
    <i r="1">
      <x v="3"/>
    </i>
    <i r="2">
      <x/>
    </i>
    <i r="2">
      <x v="1"/>
    </i>
    <i r="2">
      <x v="2"/>
    </i>
    <i r="1">
      <x v="4"/>
    </i>
    <i r="2">
      <x/>
    </i>
    <i r="2">
      <x v="1"/>
    </i>
    <i r="2">
      <x v="2"/>
    </i>
    <i>
      <x v="2"/>
    </i>
    <i r="1">
      <x/>
    </i>
    <i r="2">
      <x/>
    </i>
    <i r="2">
      <x v="1"/>
    </i>
    <i r="2">
      <x v="2"/>
    </i>
    <i r="1">
      <x v="1"/>
    </i>
    <i r="2">
      <x/>
    </i>
    <i r="2">
      <x v="1"/>
    </i>
    <i r="2">
      <x v="2"/>
    </i>
    <i r="1">
      <x v="2"/>
    </i>
    <i r="2">
      <x/>
    </i>
    <i r="2">
      <x v="1"/>
    </i>
    <i r="2">
      <x v="2"/>
    </i>
    <i r="1">
      <x v="3"/>
    </i>
    <i r="2">
      <x/>
    </i>
    <i r="2">
      <x v="1"/>
    </i>
    <i r="2">
      <x v="2"/>
    </i>
    <i r="1">
      <x v="4"/>
    </i>
    <i r="2">
      <x/>
    </i>
    <i r="2">
      <x v="1"/>
    </i>
    <i r="2">
      <x v="2"/>
    </i>
    <i>
      <x v="3"/>
    </i>
    <i r="1">
      <x/>
    </i>
    <i r="2">
      <x/>
    </i>
    <i r="2">
      <x v="1"/>
    </i>
    <i r="2">
      <x v="2"/>
    </i>
    <i r="1">
      <x v="1"/>
    </i>
    <i r="2">
      <x/>
    </i>
    <i r="2">
      <x v="1"/>
    </i>
    <i r="2">
      <x v="2"/>
    </i>
    <i r="1">
      <x v="2"/>
    </i>
    <i r="2">
      <x/>
    </i>
    <i r="2">
      <x v="1"/>
    </i>
    <i r="2">
      <x v="2"/>
    </i>
    <i r="1">
      <x v="3"/>
    </i>
    <i r="2">
      <x/>
    </i>
    <i r="2">
      <x v="1"/>
    </i>
    <i r="2">
      <x v="2"/>
    </i>
    <i r="1">
      <x v="4"/>
    </i>
    <i r="2">
      <x/>
    </i>
    <i r="2">
      <x v="1"/>
    </i>
    <i r="2">
      <x v="2"/>
    </i>
    <i>
      <x v="4"/>
    </i>
    <i r="1">
      <x/>
    </i>
    <i r="2">
      <x/>
    </i>
    <i r="2">
      <x v="1"/>
    </i>
    <i r="2">
      <x v="2"/>
    </i>
    <i r="1">
      <x v="1"/>
    </i>
    <i r="2">
      <x/>
    </i>
    <i r="2">
      <x v="1"/>
    </i>
    <i r="2">
      <x v="2"/>
    </i>
    <i r="1">
      <x v="2"/>
    </i>
    <i r="2">
      <x/>
    </i>
    <i r="2">
      <x v="1"/>
    </i>
    <i r="2">
      <x v="2"/>
    </i>
    <i r="1">
      <x v="3"/>
    </i>
    <i r="2">
      <x/>
    </i>
    <i r="2">
      <x v="1"/>
    </i>
    <i r="2">
      <x v="2"/>
    </i>
    <i r="1">
      <x v="4"/>
    </i>
    <i r="2">
      <x/>
    </i>
    <i r="2">
      <x v="1"/>
    </i>
    <i r="2">
      <x v="2"/>
    </i>
    <i>
      <x v="5"/>
    </i>
    <i r="1">
      <x/>
    </i>
    <i r="2">
      <x/>
    </i>
    <i r="2">
      <x v="1"/>
    </i>
    <i r="2">
      <x v="2"/>
    </i>
    <i r="1">
      <x v="1"/>
    </i>
    <i r="2">
      <x/>
    </i>
    <i r="2">
      <x v="1"/>
    </i>
    <i r="2">
      <x v="2"/>
    </i>
    <i r="1">
      <x v="2"/>
    </i>
    <i r="2">
      <x/>
    </i>
    <i r="2">
      <x v="1"/>
    </i>
    <i r="2">
      <x v="2"/>
    </i>
    <i r="1">
      <x v="3"/>
    </i>
    <i r="2">
      <x/>
    </i>
    <i r="2">
      <x v="1"/>
    </i>
    <i r="2">
      <x v="2"/>
    </i>
    <i r="1">
      <x v="4"/>
    </i>
    <i r="2">
      <x/>
    </i>
    <i r="2">
      <x v="1"/>
    </i>
    <i r="2">
      <x v="2"/>
    </i>
    <i t="grand">
      <x/>
    </i>
  </rowItems>
  <colFields count="1">
    <field x="-2"/>
  </colFields>
  <colItems count="2">
    <i>
      <x/>
    </i>
    <i i="1">
      <x v="1"/>
    </i>
  </colItems>
  <dataFields count="2">
    <dataField name="Sum of In-Game Purchase ($)" fld="8" baseField="0" baseItem="0"/>
    <dataField name="Average of Session Duration (min)" fld="7"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F34:G38" firstHeaderRow="1" firstDataRow="1" firstDataCol="1"/>
  <pivotFields count="20">
    <pivotField dataField="1" showAll="0"/>
    <pivotField showAll="0"/>
    <pivotField showAll="0"/>
    <pivotField showAll="0"/>
    <pivotField axis="axisRow" showAll="0">
      <items count="4">
        <item x="0"/>
        <item x="1"/>
        <item x="2"/>
        <item t="default"/>
      </items>
    </pivotField>
    <pivotField showAll="0">
      <items count="7">
        <item x="1"/>
        <item x="0"/>
        <item x="2"/>
        <item x="3"/>
        <item x="4"/>
        <item x="5"/>
        <item t="default"/>
      </items>
    </pivotField>
    <pivotField numFmtId="14" showAll="0"/>
    <pivotField numFmtId="1" showAll="0"/>
    <pivotField numFmtId="2" showAll="0"/>
    <pivotField showAll="0">
      <items count="6">
        <item x="3"/>
        <item x="1"/>
        <item x="0"/>
        <item x="4"/>
        <item x="2"/>
        <item t="default"/>
      </items>
    </pivotField>
    <pivotField showAll="0"/>
    <pivotField showAll="0">
      <items count="3">
        <item x="0"/>
        <item x="1"/>
        <item t="default"/>
      </items>
    </pivotField>
    <pivotField showAll="0"/>
    <pivotField showAll="0"/>
    <pivotField showAll="0"/>
    <pivotField showAll="0"/>
    <pivotField numFmtId="2" showAll="0"/>
    <pivotField showAll="0"/>
    <pivotField showAll="0"/>
    <pivotField showAll="0" defaultSubtotal="0">
      <items count="4">
        <item x="0"/>
        <item x="1"/>
        <item x="2"/>
        <item x="3"/>
      </items>
    </pivotField>
  </pivotFields>
  <rowFields count="1">
    <field x="4"/>
  </rowFields>
  <rowItems count="4">
    <i>
      <x/>
    </i>
    <i>
      <x v="1"/>
    </i>
    <i>
      <x v="2"/>
    </i>
    <i t="grand">
      <x/>
    </i>
  </rowItems>
  <colItems count="1">
    <i/>
  </colItems>
  <dataFields count="1">
    <dataField name="Count of Session ID" fld="0" subtotal="count" baseField="0" baseItem="0"/>
  </dataFields>
  <chartFormats count="5">
    <chartFormat chart="5"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1"/>
          </reference>
        </references>
      </pivotArea>
    </chartFormat>
    <chartFormat chart="3"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F21:H31" firstHeaderRow="0" firstDataRow="1" firstDataCol="1"/>
  <pivotFields count="20">
    <pivotField dataField="1" showAll="0"/>
    <pivotField showAll="0"/>
    <pivotField showAll="0"/>
    <pivotField showAll="0"/>
    <pivotField showAll="0">
      <items count="4">
        <item x="0"/>
        <item x="1"/>
        <item x="2"/>
        <item t="default"/>
      </items>
    </pivotField>
    <pivotField showAll="0">
      <items count="7">
        <item x="1"/>
        <item x="0"/>
        <item x="2"/>
        <item x="3"/>
        <item x="4"/>
        <item x="5"/>
        <item t="default"/>
      </items>
    </pivotField>
    <pivotField axis="axisRow" numFmtId="14" showAll="0">
      <items count="15">
        <item x="0"/>
        <item x="1"/>
        <item x="2"/>
        <item x="3"/>
        <item x="4"/>
        <item x="5"/>
        <item x="6"/>
        <item x="7"/>
        <item x="8"/>
        <item x="9"/>
        <item x="10"/>
        <item x="11"/>
        <item x="12"/>
        <item x="13"/>
        <item t="default"/>
      </items>
    </pivotField>
    <pivotField numFmtId="1" showAll="0"/>
    <pivotField dataField="1" numFmtId="2" showAll="0"/>
    <pivotField showAll="0">
      <items count="6">
        <item x="3"/>
        <item x="1"/>
        <item x="0"/>
        <item x="4"/>
        <item x="2"/>
        <item t="default"/>
      </items>
    </pivotField>
    <pivotField showAll="0"/>
    <pivotField showAll="0">
      <items count="3">
        <item x="0"/>
        <item x="1"/>
        <item t="default"/>
      </items>
    </pivotField>
    <pivotField showAll="0"/>
    <pivotField showAll="0"/>
    <pivotField showAll="0"/>
    <pivotField showAll="0"/>
    <pivotField numFmtId="2" showAll="0"/>
    <pivotField showAll="0"/>
    <pivotField showAll="0"/>
    <pivotField axis="axisRow" showAll="0" defaultSubtotal="0">
      <items count="4">
        <item x="0"/>
        <item x="1"/>
        <item x="2"/>
        <item x="3"/>
      </items>
    </pivotField>
  </pivotFields>
  <rowFields count="2">
    <field x="19"/>
    <field x="6"/>
  </rowFields>
  <rowItems count="10">
    <i>
      <x v="1"/>
    </i>
    <i r="1">
      <x v="12"/>
    </i>
    <i>
      <x v="2"/>
    </i>
    <i r="1">
      <x v="1"/>
    </i>
    <i r="1">
      <x v="2"/>
    </i>
    <i r="1">
      <x v="3"/>
    </i>
    <i r="1">
      <x v="4"/>
    </i>
    <i r="1">
      <x v="5"/>
    </i>
    <i r="1">
      <x v="6"/>
    </i>
    <i t="grand">
      <x/>
    </i>
  </rowItems>
  <colFields count="1">
    <field x="-2"/>
  </colFields>
  <colItems count="2">
    <i>
      <x/>
    </i>
    <i i="1">
      <x v="1"/>
    </i>
  </colItems>
  <dataFields count="2">
    <dataField name="Count of Session ID" fld="0" subtotal="count" baseField="0" baseItem="0"/>
    <dataField name="Sum of In-Game Purchase ($)" fld="8"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s>
  <data>
    <tabular pivotCacheId="1">
      <items count="6">
        <i x="1" s="1"/>
        <i x="0"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2" name="PivotTable4"/>
    <pivotTable tabId="2" name="PivotTable1"/>
    <pivotTable tabId="2" name="PivotTable3"/>
    <pivotTable tabId="2" name="PivotTable5"/>
    <pivotTable tabId="2" name="PivotTable6"/>
    <pivotTable tabId="2" name="PivotTable7"/>
  </pivotTables>
  <data>
    <tabular pivotCacheId="2">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2" name="PivotTable4"/>
    <pivotTable tabId="2" name="PivotTable1"/>
    <pivotTable tabId="2" name="PivotTable3"/>
    <pivotTable tabId="2" name="PivotTable5"/>
    <pivotTable tabId="2" name="PivotTable6"/>
    <pivotTable tabId="2" name="PivotTable7"/>
  </pivotTables>
  <data>
    <tabular pivotCacheId="2">
      <items count="6">
        <i x="1" s="1"/>
        <i x="0"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ame_Name1" sourceName="Game Name">
  <pivotTables>
    <pivotTable tabId="2" name="PivotTable4"/>
  </pivotTables>
  <data>
    <tabular pivotCacheId="2">
      <items count="5">
        <i x="0" s="1"/>
        <i x="3" s="1"/>
        <i x="4"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latform1" sourceName="Platform">
  <pivotTables>
    <pivotTable tabId="2" name="PivotTable4"/>
    <pivotTable tabId="2" name="PivotTable1"/>
    <pivotTable tabId="2" name="PivotTable3"/>
    <pivotTable tabId="2" name="PivotTable5"/>
    <pivotTable tabId="2" name="PivotTable6"/>
    <pivotTable tabId="2" name="PivotTable7"/>
  </pivotTables>
  <data>
    <tabular pivotCacheId="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urchase_Type1" sourceName="Purchase Type">
  <pivotTables>
    <pivotTable tabId="2" name="PivotTable4"/>
    <pivotTable tabId="2" name="PivotTable1"/>
    <pivotTable tabId="2" name="PivotTable3"/>
    <pivotTable tabId="2" name="PivotTable5"/>
    <pivotTable tabId="2" name="PivotTable6"/>
    <pivotTable tabId="2" name="PivotTable7"/>
  </pivotTables>
  <data>
    <tabular pivotCacheId="2">
      <items count="5">
        <i x="3" s="1"/>
        <i x="1" s="1"/>
        <i x="0" s="1"/>
        <i x="4"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layer_Type1" sourceName="Player Type">
  <pivotTables>
    <pivotTable tabId="2" name="PivotTable4"/>
    <pivotTable tabId="2" name="PivotTable1"/>
    <pivotTable tabId="2" name="PivotTable3"/>
    <pivotTable tabId="2" name="PivotTable5"/>
    <pivotTable tabId="2" name="PivotTable6"/>
    <pivotTable tabId="2" name="PivotTable7"/>
  </pivotTables>
  <data>
    <tabular pivotCacheId="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4" rowHeight="241300"/>
  <slicer name="Years 1" cache="Slicer_Years" caption="Years" style="SlicerStyleDark4" rowHeight="241300"/>
  <slicer name="Region 1" cache="Slicer_Region1" caption="Region" style="SlicerStyleDark4" rowHeight="241300"/>
  <slicer name="Game Name 1" cache="Slicer_Game_Name1" caption="Game Name" style="SlicerStyleDark4" rowHeight="241300"/>
  <slicer name="Platform 1" cache="Slicer_Platform1" caption="Platform" style="SlicerStyleDark4" rowHeight="241300"/>
  <slicer name="Purchase Type 1" cache="Slicer_Purchase_Type1" caption="Purchase Type" style="SlicerStyleDark4" rowHeight="241300"/>
  <slicer name="Player Type 1" cache="Slicer_Player_Type1" caption="Player Type"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148"/>
  <sheetViews>
    <sheetView topLeftCell="A32" workbookViewId="0">
      <selection activeCell="C27" sqref="C27"/>
    </sheetView>
  </sheetViews>
  <sheetFormatPr defaultRowHeight="14.5" x14ac:dyDescent="0.35"/>
  <cols>
    <col min="1" max="1" width="17.81640625" customWidth="1"/>
    <col min="2" max="2" width="25.453125" customWidth="1"/>
    <col min="3" max="3" width="29.6328125" customWidth="1"/>
    <col min="4" max="4" width="3.81640625" customWidth="1"/>
    <col min="5" max="5" width="10.7265625" customWidth="1"/>
    <col min="6" max="6" width="12.36328125" customWidth="1"/>
    <col min="7" max="7" width="17.1796875" customWidth="1"/>
    <col min="8" max="8" width="25.453125" bestFit="1" customWidth="1"/>
  </cols>
  <sheetData>
    <row r="4" spans="1:7" x14ac:dyDescent="0.35">
      <c r="A4" s="13"/>
    </row>
    <row r="12" spans="1:7" x14ac:dyDescent="0.35">
      <c r="A12" s="11" t="s">
        <v>1531</v>
      </c>
      <c r="B12" s="15" t="s">
        <v>1536</v>
      </c>
      <c r="F12" s="11" t="s">
        <v>1531</v>
      </c>
      <c r="G12" t="s">
        <v>1539</v>
      </c>
    </row>
    <row r="13" spans="1:7" x14ac:dyDescent="0.35">
      <c r="A13" s="12" t="s">
        <v>1502</v>
      </c>
      <c r="B13" s="15">
        <v>0.70175438596491224</v>
      </c>
      <c r="F13" s="12" t="s">
        <v>1511</v>
      </c>
      <c r="G13" s="13">
        <v>75</v>
      </c>
    </row>
    <row r="14" spans="1:7" x14ac:dyDescent="0.35">
      <c r="A14" s="12" t="s">
        <v>1505</v>
      </c>
      <c r="B14" s="15">
        <v>0.70731707317073167</v>
      </c>
      <c r="F14" s="12" t="s">
        <v>1510</v>
      </c>
      <c r="G14" s="13">
        <v>80</v>
      </c>
    </row>
    <row r="15" spans="1:7" x14ac:dyDescent="0.35">
      <c r="A15" s="12" t="s">
        <v>1506</v>
      </c>
      <c r="B15" s="15">
        <v>0.81188118811881194</v>
      </c>
      <c r="F15" s="12" t="s">
        <v>1512</v>
      </c>
      <c r="G15" s="13">
        <v>96</v>
      </c>
    </row>
    <row r="16" spans="1:7" x14ac:dyDescent="0.35">
      <c r="A16" s="12" t="s">
        <v>1504</v>
      </c>
      <c r="B16" s="15">
        <v>0.68518518518518523</v>
      </c>
      <c r="F16" s="12" t="s">
        <v>1513</v>
      </c>
      <c r="G16" s="13">
        <v>76</v>
      </c>
    </row>
    <row r="17" spans="1:8" x14ac:dyDescent="0.35">
      <c r="A17" s="12" t="s">
        <v>1503</v>
      </c>
      <c r="B17" s="15">
        <v>0.69473684210526321</v>
      </c>
      <c r="F17" s="12" t="s">
        <v>1514</v>
      </c>
      <c r="G17" s="13">
        <v>80</v>
      </c>
    </row>
    <row r="18" spans="1:8" x14ac:dyDescent="0.35">
      <c r="A18" s="12" t="s">
        <v>1532</v>
      </c>
      <c r="B18" s="15">
        <v>0.72</v>
      </c>
      <c r="F18" s="12" t="s">
        <v>1515</v>
      </c>
      <c r="G18" s="13">
        <v>93</v>
      </c>
    </row>
    <row r="19" spans="1:8" x14ac:dyDescent="0.35">
      <c r="F19" s="12" t="s">
        <v>1532</v>
      </c>
      <c r="G19" s="13">
        <v>500</v>
      </c>
    </row>
    <row r="21" spans="1:8" x14ac:dyDescent="0.35">
      <c r="A21" s="11" t="s">
        <v>1531</v>
      </c>
      <c r="B21" t="s">
        <v>1533</v>
      </c>
      <c r="C21" t="s">
        <v>1538</v>
      </c>
      <c r="F21" s="11" t="s">
        <v>1531</v>
      </c>
      <c r="G21" t="s">
        <v>1539</v>
      </c>
      <c r="H21" t="s">
        <v>1533</v>
      </c>
    </row>
    <row r="22" spans="1:8" x14ac:dyDescent="0.35">
      <c r="A22" s="12" t="s">
        <v>1511</v>
      </c>
      <c r="B22" s="13">
        <v>241.36</v>
      </c>
      <c r="C22" s="13">
        <v>90.08</v>
      </c>
      <c r="F22" s="12" t="s">
        <v>1540</v>
      </c>
      <c r="G22" s="13"/>
      <c r="H22" s="13"/>
    </row>
    <row r="23" spans="1:8" x14ac:dyDescent="0.35">
      <c r="A23" s="14" t="s">
        <v>1502</v>
      </c>
      <c r="B23" s="13">
        <v>74.16</v>
      </c>
      <c r="C23" s="13">
        <v>95.473684210526315</v>
      </c>
      <c r="F23" s="17" t="s">
        <v>1541</v>
      </c>
      <c r="G23" s="13">
        <v>48</v>
      </c>
      <c r="H23" s="13">
        <v>167.15</v>
      </c>
    </row>
    <row r="24" spans="1:8" x14ac:dyDescent="0.35">
      <c r="A24" s="16" t="s">
        <v>1507</v>
      </c>
      <c r="B24" s="13">
        <v>33.58</v>
      </c>
      <c r="C24" s="13">
        <v>83.25</v>
      </c>
      <c r="F24" s="12" t="s">
        <v>1542</v>
      </c>
      <c r="G24" s="13"/>
      <c r="H24" s="13"/>
    </row>
    <row r="25" spans="1:8" x14ac:dyDescent="0.35">
      <c r="A25" s="16" t="s">
        <v>1508</v>
      </c>
      <c r="B25" s="13">
        <v>0</v>
      </c>
      <c r="C25" s="13">
        <v>95.857142857142861</v>
      </c>
      <c r="F25" s="17" t="s">
        <v>1543</v>
      </c>
      <c r="G25" s="13">
        <v>95</v>
      </c>
      <c r="H25" s="13">
        <v>336.85999999999996</v>
      </c>
    </row>
    <row r="26" spans="1:8" x14ac:dyDescent="0.35">
      <c r="A26" s="16" t="s">
        <v>1509</v>
      </c>
      <c r="B26" s="13">
        <v>40.58</v>
      </c>
      <c r="C26" s="13">
        <v>119.25</v>
      </c>
      <c r="F26" s="17" t="s">
        <v>1544</v>
      </c>
      <c r="G26" s="13">
        <v>77</v>
      </c>
      <c r="H26" s="13">
        <v>586.92999999999995</v>
      </c>
    </row>
    <row r="27" spans="1:8" x14ac:dyDescent="0.35">
      <c r="A27" s="14" t="s">
        <v>1505</v>
      </c>
      <c r="B27" s="13">
        <v>35.729999999999997</v>
      </c>
      <c r="C27" s="13">
        <v>95.181818181818187</v>
      </c>
      <c r="F27" s="17" t="s">
        <v>1545</v>
      </c>
      <c r="G27" s="13">
        <v>67</v>
      </c>
      <c r="H27" s="13">
        <v>361.03999999999996</v>
      </c>
    </row>
    <row r="28" spans="1:8" x14ac:dyDescent="0.35">
      <c r="A28" s="16" t="s">
        <v>1507</v>
      </c>
      <c r="B28" s="13">
        <v>0</v>
      </c>
      <c r="C28" s="13">
        <v>77.75</v>
      </c>
      <c r="F28" s="17" t="s">
        <v>1546</v>
      </c>
      <c r="G28" s="13">
        <v>76</v>
      </c>
      <c r="H28" s="13">
        <v>459.5</v>
      </c>
    </row>
    <row r="29" spans="1:8" x14ac:dyDescent="0.35">
      <c r="A29" s="16" t="s">
        <v>1508</v>
      </c>
      <c r="B29" s="13">
        <v>13.33</v>
      </c>
      <c r="C29" s="13">
        <v>100.33333333333333</v>
      </c>
      <c r="F29" s="17" t="s">
        <v>1547</v>
      </c>
      <c r="G29" s="13">
        <v>101</v>
      </c>
      <c r="H29" s="13">
        <v>590.19999999999993</v>
      </c>
    </row>
    <row r="30" spans="1:8" x14ac:dyDescent="0.35">
      <c r="A30" s="16" t="s">
        <v>1509</v>
      </c>
      <c r="B30" s="13">
        <v>22.4</v>
      </c>
      <c r="C30" s="13">
        <v>108.75</v>
      </c>
      <c r="F30" s="17" t="s">
        <v>1548</v>
      </c>
      <c r="G30" s="13">
        <v>36</v>
      </c>
      <c r="H30" s="13">
        <v>129.59</v>
      </c>
    </row>
    <row r="31" spans="1:8" x14ac:dyDescent="0.35">
      <c r="A31" s="14" t="s">
        <v>1506</v>
      </c>
      <c r="B31" s="13">
        <v>19.62</v>
      </c>
      <c r="C31" s="13">
        <v>98.466666666666669</v>
      </c>
      <c r="F31" s="12" t="s">
        <v>1532</v>
      </c>
      <c r="G31" s="13">
        <v>500</v>
      </c>
      <c r="H31" s="13">
        <v>2631.2699999999991</v>
      </c>
    </row>
    <row r="32" spans="1:8" x14ac:dyDescent="0.35">
      <c r="A32" s="16" t="s">
        <v>1507</v>
      </c>
      <c r="B32" s="13">
        <v>0</v>
      </c>
      <c r="C32" s="13">
        <v>88.5</v>
      </c>
    </row>
    <row r="33" spans="1:7" x14ac:dyDescent="0.35">
      <c r="A33" s="16" t="s">
        <v>1508</v>
      </c>
      <c r="B33" s="13">
        <v>19.62</v>
      </c>
      <c r="C33" s="13">
        <v>101.71428571428571</v>
      </c>
    </row>
    <row r="34" spans="1:7" x14ac:dyDescent="0.35">
      <c r="A34" s="16" t="s">
        <v>1509</v>
      </c>
      <c r="B34" s="13">
        <v>0</v>
      </c>
      <c r="C34" s="13">
        <v>102.75</v>
      </c>
      <c r="F34" s="11" t="s">
        <v>1531</v>
      </c>
      <c r="G34" t="s">
        <v>1539</v>
      </c>
    </row>
    <row r="35" spans="1:7" x14ac:dyDescent="0.35">
      <c r="A35" s="14" t="s">
        <v>1504</v>
      </c>
      <c r="B35" s="13">
        <v>31.73</v>
      </c>
      <c r="C35" s="13">
        <v>84.8125</v>
      </c>
      <c r="F35" s="12" t="s">
        <v>1507</v>
      </c>
      <c r="G35" s="13">
        <v>172</v>
      </c>
    </row>
    <row r="36" spans="1:7" x14ac:dyDescent="0.35">
      <c r="A36" s="16" t="s">
        <v>1507</v>
      </c>
      <c r="B36" s="13">
        <v>4.07</v>
      </c>
      <c r="C36" s="13">
        <v>74</v>
      </c>
      <c r="F36" s="12" t="s">
        <v>1508</v>
      </c>
      <c r="G36" s="13">
        <v>167</v>
      </c>
    </row>
    <row r="37" spans="1:7" x14ac:dyDescent="0.35">
      <c r="A37" s="16" t="s">
        <v>1508</v>
      </c>
      <c r="B37" s="13">
        <v>0</v>
      </c>
      <c r="C37" s="13">
        <v>97.571428571428569</v>
      </c>
      <c r="F37" s="12" t="s">
        <v>1509</v>
      </c>
      <c r="G37" s="13">
        <v>161</v>
      </c>
    </row>
    <row r="38" spans="1:7" x14ac:dyDescent="0.35">
      <c r="A38" s="16" t="s">
        <v>1509</v>
      </c>
      <c r="B38" s="13">
        <v>27.66</v>
      </c>
      <c r="C38" s="13">
        <v>76</v>
      </c>
      <c r="F38" s="12" t="s">
        <v>1532</v>
      </c>
      <c r="G38" s="13">
        <v>500</v>
      </c>
    </row>
    <row r="39" spans="1:7" x14ac:dyDescent="0.35">
      <c r="A39" s="14" t="s">
        <v>1503</v>
      </c>
      <c r="B39" s="13">
        <v>80.12</v>
      </c>
      <c r="C39" s="13">
        <v>75.785714285714292</v>
      </c>
    </row>
    <row r="40" spans="1:7" x14ac:dyDescent="0.35">
      <c r="A40" s="16" t="s">
        <v>1507</v>
      </c>
      <c r="B40" s="13">
        <v>23.18</v>
      </c>
      <c r="C40" s="13">
        <v>73.400000000000006</v>
      </c>
    </row>
    <row r="41" spans="1:7" x14ac:dyDescent="0.35">
      <c r="A41" s="16" t="s">
        <v>1508</v>
      </c>
      <c r="B41" s="13">
        <v>56.94</v>
      </c>
      <c r="C41" s="13">
        <v>73.714285714285708</v>
      </c>
      <c r="F41" s="11" t="s">
        <v>1531</v>
      </c>
      <c r="G41" t="s">
        <v>1549</v>
      </c>
    </row>
    <row r="42" spans="1:7" x14ac:dyDescent="0.35">
      <c r="A42" s="16" t="s">
        <v>1509</v>
      </c>
      <c r="B42" s="13">
        <v>0</v>
      </c>
      <c r="C42" s="13">
        <v>89</v>
      </c>
      <c r="F42" s="12" t="s">
        <v>1511</v>
      </c>
      <c r="G42" s="13">
        <v>75</v>
      </c>
    </row>
    <row r="43" spans="1:7" x14ac:dyDescent="0.35">
      <c r="A43" s="12" t="s">
        <v>1510</v>
      </c>
      <c r="B43" s="13">
        <v>464.24</v>
      </c>
      <c r="C43" s="13">
        <v>95.637500000000003</v>
      </c>
      <c r="F43" s="14" t="s">
        <v>1550</v>
      </c>
      <c r="G43" s="13">
        <v>74</v>
      </c>
    </row>
    <row r="44" spans="1:7" x14ac:dyDescent="0.35">
      <c r="A44" s="14" t="s">
        <v>1502</v>
      </c>
      <c r="B44" s="13">
        <v>60.3</v>
      </c>
      <c r="C44" s="13">
        <v>115.53846153846153</v>
      </c>
      <c r="F44" s="14" t="s">
        <v>1551</v>
      </c>
      <c r="G44" s="13">
        <v>1</v>
      </c>
    </row>
    <row r="45" spans="1:7" x14ac:dyDescent="0.35">
      <c r="A45" s="16" t="s">
        <v>1507</v>
      </c>
      <c r="B45" s="13">
        <v>29.06</v>
      </c>
      <c r="C45" s="13">
        <v>113</v>
      </c>
      <c r="F45" s="12" t="s">
        <v>1510</v>
      </c>
      <c r="G45" s="13">
        <v>80</v>
      </c>
    </row>
    <row r="46" spans="1:7" x14ac:dyDescent="0.35">
      <c r="A46" s="16" t="s">
        <v>1508</v>
      </c>
      <c r="B46" s="13">
        <v>0</v>
      </c>
      <c r="C46" s="13">
        <v>114.66666666666667</v>
      </c>
      <c r="F46" s="14" t="s">
        <v>1550</v>
      </c>
      <c r="G46" s="13">
        <v>72</v>
      </c>
    </row>
    <row r="47" spans="1:7" x14ac:dyDescent="0.35">
      <c r="A47" s="16" t="s">
        <v>1509</v>
      </c>
      <c r="B47" s="13">
        <v>31.24</v>
      </c>
      <c r="C47" s="13">
        <v>117</v>
      </c>
      <c r="F47" s="14" t="s">
        <v>1551</v>
      </c>
      <c r="G47" s="13">
        <v>8</v>
      </c>
    </row>
    <row r="48" spans="1:7" x14ac:dyDescent="0.35">
      <c r="A48" s="14" t="s">
        <v>1505</v>
      </c>
      <c r="B48" s="13">
        <v>69.900000000000006</v>
      </c>
      <c r="C48" s="13">
        <v>111.5</v>
      </c>
      <c r="F48" s="12" t="s">
        <v>1512</v>
      </c>
      <c r="G48" s="13">
        <v>96</v>
      </c>
    </row>
    <row r="49" spans="1:7" x14ac:dyDescent="0.35">
      <c r="A49" s="16" t="s">
        <v>1507</v>
      </c>
      <c r="B49" s="13">
        <v>0</v>
      </c>
      <c r="C49" s="13">
        <v>152.5</v>
      </c>
      <c r="F49" s="14" t="s">
        <v>1550</v>
      </c>
      <c r="G49" s="13">
        <v>93</v>
      </c>
    </row>
    <row r="50" spans="1:7" x14ac:dyDescent="0.35">
      <c r="A50" s="16" t="s">
        <v>1508</v>
      </c>
      <c r="B50" s="13">
        <v>23.59</v>
      </c>
      <c r="C50" s="13">
        <v>126.75</v>
      </c>
      <c r="F50" s="14" t="s">
        <v>1551</v>
      </c>
      <c r="G50" s="13">
        <v>3</v>
      </c>
    </row>
    <row r="51" spans="1:7" x14ac:dyDescent="0.35">
      <c r="A51" s="16" t="s">
        <v>1509</v>
      </c>
      <c r="B51" s="13">
        <v>46.31</v>
      </c>
      <c r="C51" s="13">
        <v>40</v>
      </c>
      <c r="F51" s="12" t="s">
        <v>1513</v>
      </c>
      <c r="G51" s="13">
        <v>76</v>
      </c>
    </row>
    <row r="52" spans="1:7" x14ac:dyDescent="0.35">
      <c r="A52" s="14" t="s">
        <v>1506</v>
      </c>
      <c r="B52" s="13">
        <v>69.960000000000008</v>
      </c>
      <c r="C52" s="13">
        <v>91.352941176470594</v>
      </c>
      <c r="F52" s="14" t="s">
        <v>1550</v>
      </c>
      <c r="G52" s="13">
        <v>72</v>
      </c>
    </row>
    <row r="53" spans="1:7" x14ac:dyDescent="0.35">
      <c r="A53" s="16" t="s">
        <v>1507</v>
      </c>
      <c r="B53" s="13">
        <v>0</v>
      </c>
      <c r="C53" s="13">
        <v>95.571428571428569</v>
      </c>
      <c r="F53" s="14" t="s">
        <v>1551</v>
      </c>
      <c r="G53" s="13">
        <v>4</v>
      </c>
    </row>
    <row r="54" spans="1:7" x14ac:dyDescent="0.35">
      <c r="A54" s="16" t="s">
        <v>1508</v>
      </c>
      <c r="B54" s="13">
        <v>0</v>
      </c>
      <c r="C54" s="13">
        <v>142</v>
      </c>
      <c r="F54" s="12" t="s">
        <v>1514</v>
      </c>
      <c r="G54" s="13">
        <v>80</v>
      </c>
    </row>
    <row r="55" spans="1:7" x14ac:dyDescent="0.35">
      <c r="A55" s="16" t="s">
        <v>1509</v>
      </c>
      <c r="B55" s="13">
        <v>69.960000000000008</v>
      </c>
      <c r="C55" s="13">
        <v>75</v>
      </c>
      <c r="F55" s="14" t="s">
        <v>1550</v>
      </c>
      <c r="G55" s="13">
        <v>76</v>
      </c>
    </row>
    <row r="56" spans="1:7" x14ac:dyDescent="0.35">
      <c r="A56" s="14" t="s">
        <v>1504</v>
      </c>
      <c r="B56" s="13">
        <v>144.60999999999999</v>
      </c>
      <c r="C56" s="13">
        <v>88.461538461538467</v>
      </c>
      <c r="F56" s="14" t="s">
        <v>1551</v>
      </c>
      <c r="G56" s="13">
        <v>4</v>
      </c>
    </row>
    <row r="57" spans="1:7" x14ac:dyDescent="0.35">
      <c r="A57" s="16" t="s">
        <v>1507</v>
      </c>
      <c r="B57" s="13">
        <v>68.319999999999993</v>
      </c>
      <c r="C57" s="13">
        <v>103.44444444444444</v>
      </c>
      <c r="F57" s="12" t="s">
        <v>1515</v>
      </c>
      <c r="G57" s="13">
        <v>93</v>
      </c>
    </row>
    <row r="58" spans="1:7" x14ac:dyDescent="0.35">
      <c r="A58" s="16" t="s">
        <v>1508</v>
      </c>
      <c r="B58" s="13">
        <v>59.879999999999995</v>
      </c>
      <c r="C58" s="13">
        <v>53.285714285714285</v>
      </c>
      <c r="F58" s="14" t="s">
        <v>1550</v>
      </c>
      <c r="G58" s="13">
        <v>90</v>
      </c>
    </row>
    <row r="59" spans="1:7" x14ac:dyDescent="0.35">
      <c r="A59" s="16" t="s">
        <v>1509</v>
      </c>
      <c r="B59" s="13">
        <v>16.41</v>
      </c>
      <c r="C59" s="13">
        <v>99.6</v>
      </c>
      <c r="F59" s="14" t="s">
        <v>1551</v>
      </c>
      <c r="G59" s="13">
        <v>3</v>
      </c>
    </row>
    <row r="60" spans="1:7" x14ac:dyDescent="0.35">
      <c r="A60" s="14" t="s">
        <v>1503</v>
      </c>
      <c r="B60" s="13">
        <v>119.47</v>
      </c>
      <c r="C60" s="13">
        <v>87.75</v>
      </c>
      <c r="F60" s="12" t="s">
        <v>1532</v>
      </c>
      <c r="G60" s="13">
        <v>500</v>
      </c>
    </row>
    <row r="61" spans="1:7" x14ac:dyDescent="0.35">
      <c r="A61" s="16" t="s">
        <v>1507</v>
      </c>
      <c r="B61" s="13">
        <v>60.79</v>
      </c>
      <c r="C61" s="13">
        <v>94.2</v>
      </c>
    </row>
    <row r="62" spans="1:7" x14ac:dyDescent="0.35">
      <c r="A62" s="16" t="s">
        <v>1508</v>
      </c>
      <c r="B62" s="13">
        <v>58.68</v>
      </c>
      <c r="C62" s="13">
        <v>96.5</v>
      </c>
    </row>
    <row r="63" spans="1:7" x14ac:dyDescent="0.35">
      <c r="A63" s="16" t="s">
        <v>1509</v>
      </c>
      <c r="B63" s="13">
        <v>0</v>
      </c>
      <c r="C63" s="13">
        <v>53.666666666666664</v>
      </c>
    </row>
    <row r="64" spans="1:7" x14ac:dyDescent="0.35">
      <c r="A64" s="12" t="s">
        <v>1512</v>
      </c>
      <c r="B64" s="13">
        <v>618.43000000000018</v>
      </c>
      <c r="C64" s="13">
        <v>88.697916666666671</v>
      </c>
      <c r="F64" s="11" t="s">
        <v>1531</v>
      </c>
      <c r="G64" t="s">
        <v>1539</v>
      </c>
    </row>
    <row r="65" spans="1:7" x14ac:dyDescent="0.35">
      <c r="A65" s="14" t="s">
        <v>1502</v>
      </c>
      <c r="B65" s="13">
        <v>150.16000000000003</v>
      </c>
      <c r="C65" s="13">
        <v>86</v>
      </c>
      <c r="F65" s="12" t="s">
        <v>1521</v>
      </c>
      <c r="G65" s="13">
        <v>360</v>
      </c>
    </row>
    <row r="66" spans="1:7" x14ac:dyDescent="0.35">
      <c r="A66" s="16" t="s">
        <v>1507</v>
      </c>
      <c r="B66" s="13">
        <v>98.56</v>
      </c>
      <c r="C66" s="13">
        <v>91.6</v>
      </c>
      <c r="F66" s="12" t="s">
        <v>1522</v>
      </c>
      <c r="G66" s="13">
        <v>43</v>
      </c>
    </row>
    <row r="67" spans="1:7" x14ac:dyDescent="0.35">
      <c r="A67" s="16" t="s">
        <v>1508</v>
      </c>
      <c r="B67" s="13">
        <v>15.26</v>
      </c>
      <c r="C67" s="13">
        <v>80</v>
      </c>
      <c r="F67" s="12" t="s">
        <v>1523</v>
      </c>
      <c r="G67" s="13">
        <v>52</v>
      </c>
    </row>
    <row r="68" spans="1:7" x14ac:dyDescent="0.35">
      <c r="A68" s="16" t="s">
        <v>1509</v>
      </c>
      <c r="B68" s="13">
        <v>36.340000000000003</v>
      </c>
      <c r="C68" s="13">
        <v>85.75</v>
      </c>
      <c r="F68" s="12" t="s">
        <v>1524</v>
      </c>
      <c r="G68" s="13">
        <v>45</v>
      </c>
    </row>
    <row r="69" spans="1:7" x14ac:dyDescent="0.35">
      <c r="A69" s="14" t="s">
        <v>1505</v>
      </c>
      <c r="B69" s="13">
        <v>71.98</v>
      </c>
      <c r="C69" s="13">
        <v>82.375</v>
      </c>
      <c r="F69" s="12" t="s">
        <v>1532</v>
      </c>
      <c r="G69" s="13">
        <v>500</v>
      </c>
    </row>
    <row r="70" spans="1:7" x14ac:dyDescent="0.35">
      <c r="A70" s="16" t="s">
        <v>1507</v>
      </c>
      <c r="B70" s="13">
        <v>0</v>
      </c>
      <c r="C70" s="13">
        <v>89.166666666666671</v>
      </c>
    </row>
    <row r="71" spans="1:7" x14ac:dyDescent="0.35">
      <c r="A71" s="16" t="s">
        <v>1508</v>
      </c>
      <c r="B71" s="13">
        <v>40.31</v>
      </c>
      <c r="C71" s="13">
        <v>81.2</v>
      </c>
    </row>
    <row r="72" spans="1:7" x14ac:dyDescent="0.35">
      <c r="A72" s="16" t="s">
        <v>1509</v>
      </c>
      <c r="B72" s="13">
        <v>31.67</v>
      </c>
      <c r="C72" s="13">
        <v>75.400000000000006</v>
      </c>
    </row>
    <row r="73" spans="1:7" x14ac:dyDescent="0.35">
      <c r="A73" s="14" t="s">
        <v>1506</v>
      </c>
      <c r="B73" s="13">
        <v>102.06</v>
      </c>
      <c r="C73" s="13">
        <v>74.285714285714292</v>
      </c>
    </row>
    <row r="74" spans="1:7" x14ac:dyDescent="0.35">
      <c r="A74" s="16" t="s">
        <v>1507</v>
      </c>
      <c r="B74" s="13">
        <v>78.349999999999994</v>
      </c>
      <c r="C74" s="13">
        <v>82.8</v>
      </c>
    </row>
    <row r="75" spans="1:7" x14ac:dyDescent="0.35">
      <c r="A75" s="16" t="s">
        <v>1508</v>
      </c>
      <c r="B75" s="13">
        <v>0</v>
      </c>
      <c r="C75" s="13">
        <v>63.333333333333336</v>
      </c>
    </row>
    <row r="76" spans="1:7" x14ac:dyDescent="0.35">
      <c r="A76" s="16" t="s">
        <v>1509</v>
      </c>
      <c r="B76" s="13">
        <v>23.71</v>
      </c>
      <c r="C76" s="13">
        <v>72.666666666666671</v>
      </c>
    </row>
    <row r="77" spans="1:7" x14ac:dyDescent="0.35">
      <c r="A77" s="14" t="s">
        <v>1504</v>
      </c>
      <c r="B77" s="13">
        <v>95.19</v>
      </c>
      <c r="C77" s="13">
        <v>94.466666666666669</v>
      </c>
    </row>
    <row r="78" spans="1:7" x14ac:dyDescent="0.35">
      <c r="A78" s="16" t="s">
        <v>1507</v>
      </c>
      <c r="B78" s="13">
        <v>0</v>
      </c>
      <c r="C78" s="13">
        <v>91</v>
      </c>
    </row>
    <row r="79" spans="1:7" x14ac:dyDescent="0.35">
      <c r="A79" s="16" t="s">
        <v>1508</v>
      </c>
      <c r="B79" s="13">
        <v>0</v>
      </c>
      <c r="C79" s="13">
        <v>82</v>
      </c>
    </row>
    <row r="80" spans="1:7" x14ac:dyDescent="0.35">
      <c r="A80" s="16" t="s">
        <v>1509</v>
      </c>
      <c r="B80" s="13">
        <v>95.19</v>
      </c>
      <c r="C80" s="13">
        <v>103.125</v>
      </c>
    </row>
    <row r="81" spans="1:3" x14ac:dyDescent="0.35">
      <c r="A81" s="14" t="s">
        <v>1503</v>
      </c>
      <c r="B81" s="13">
        <v>199.04</v>
      </c>
      <c r="C81" s="13">
        <v>100.75</v>
      </c>
    </row>
    <row r="82" spans="1:3" x14ac:dyDescent="0.35">
      <c r="A82" s="16" t="s">
        <v>1507</v>
      </c>
      <c r="B82" s="13">
        <v>116.38</v>
      </c>
      <c r="C82" s="13">
        <v>119.25</v>
      </c>
    </row>
    <row r="83" spans="1:3" x14ac:dyDescent="0.35">
      <c r="A83" s="16" t="s">
        <v>1508</v>
      </c>
      <c r="B83" s="13">
        <v>59.09</v>
      </c>
      <c r="C83" s="13">
        <v>82.333333333333329</v>
      </c>
    </row>
    <row r="84" spans="1:3" x14ac:dyDescent="0.35">
      <c r="A84" s="16" t="s">
        <v>1509</v>
      </c>
      <c r="B84" s="13">
        <v>23.57</v>
      </c>
      <c r="C84" s="13">
        <v>103.28571428571429</v>
      </c>
    </row>
    <row r="85" spans="1:3" x14ac:dyDescent="0.35">
      <c r="A85" s="12" t="s">
        <v>1513</v>
      </c>
      <c r="B85" s="13">
        <v>431.67</v>
      </c>
      <c r="C85" s="13">
        <v>91.85526315789474</v>
      </c>
    </row>
    <row r="86" spans="1:3" x14ac:dyDescent="0.35">
      <c r="A86" s="14" t="s">
        <v>1502</v>
      </c>
      <c r="B86" s="13">
        <v>123.31</v>
      </c>
      <c r="C86" s="13">
        <v>84.333333333333329</v>
      </c>
    </row>
    <row r="87" spans="1:3" x14ac:dyDescent="0.35">
      <c r="A87" s="16" t="s">
        <v>1507</v>
      </c>
      <c r="B87" s="13">
        <v>30.6</v>
      </c>
      <c r="C87" s="13">
        <v>81.5</v>
      </c>
    </row>
    <row r="88" spans="1:3" x14ac:dyDescent="0.35">
      <c r="A88" s="16" t="s">
        <v>1508</v>
      </c>
      <c r="B88" s="13">
        <v>92.710000000000008</v>
      </c>
      <c r="C88" s="13">
        <v>75.222222222222229</v>
      </c>
    </row>
    <row r="89" spans="1:3" x14ac:dyDescent="0.35">
      <c r="A89" s="16" t="s">
        <v>1509</v>
      </c>
      <c r="B89" s="13">
        <v>0</v>
      </c>
      <c r="C89" s="13">
        <v>131</v>
      </c>
    </row>
    <row r="90" spans="1:3" x14ac:dyDescent="0.35">
      <c r="A90" s="14" t="s">
        <v>1505</v>
      </c>
      <c r="B90" s="13">
        <v>105.7</v>
      </c>
      <c r="C90" s="13">
        <v>81.933333333333337</v>
      </c>
    </row>
    <row r="91" spans="1:3" x14ac:dyDescent="0.35">
      <c r="A91" s="16" t="s">
        <v>1507</v>
      </c>
      <c r="B91" s="13">
        <v>92.62</v>
      </c>
      <c r="C91" s="13">
        <v>98.333333333333329</v>
      </c>
    </row>
    <row r="92" spans="1:3" x14ac:dyDescent="0.35">
      <c r="A92" s="16" t="s">
        <v>1508</v>
      </c>
      <c r="B92" s="13">
        <v>13.08</v>
      </c>
      <c r="C92" s="13">
        <v>84.25</v>
      </c>
    </row>
    <row r="93" spans="1:3" x14ac:dyDescent="0.35">
      <c r="A93" s="16" t="s">
        <v>1509</v>
      </c>
      <c r="B93" s="13">
        <v>0</v>
      </c>
      <c r="C93" s="13">
        <v>60.4</v>
      </c>
    </row>
    <row r="94" spans="1:3" x14ac:dyDescent="0.35">
      <c r="A94" s="14" t="s">
        <v>1506</v>
      </c>
      <c r="B94" s="13">
        <v>143.81</v>
      </c>
      <c r="C94" s="13">
        <v>108.52380952380952</v>
      </c>
    </row>
    <row r="95" spans="1:3" x14ac:dyDescent="0.35">
      <c r="A95" s="16" t="s">
        <v>1507</v>
      </c>
      <c r="B95" s="13">
        <v>7.47</v>
      </c>
      <c r="C95" s="13">
        <v>161.5</v>
      </c>
    </row>
    <row r="96" spans="1:3" x14ac:dyDescent="0.35">
      <c r="A96" s="16" t="s">
        <v>1508</v>
      </c>
      <c r="B96" s="13">
        <v>66.47</v>
      </c>
      <c r="C96" s="13">
        <v>95.090909090909093</v>
      </c>
    </row>
    <row r="97" spans="1:3" x14ac:dyDescent="0.35">
      <c r="A97" s="16" t="s">
        <v>1509</v>
      </c>
      <c r="B97" s="13">
        <v>69.87</v>
      </c>
      <c r="C97" s="13">
        <v>97.833333333333329</v>
      </c>
    </row>
    <row r="98" spans="1:3" x14ac:dyDescent="0.35">
      <c r="A98" s="14" t="s">
        <v>1504</v>
      </c>
      <c r="B98" s="13">
        <v>35.770000000000003</v>
      </c>
      <c r="C98" s="13">
        <v>63.266666666666666</v>
      </c>
    </row>
    <row r="99" spans="1:3" x14ac:dyDescent="0.35">
      <c r="A99" s="16" t="s">
        <v>1507</v>
      </c>
      <c r="B99" s="13">
        <v>0</v>
      </c>
      <c r="C99" s="13">
        <v>74.599999999999994</v>
      </c>
    </row>
    <row r="100" spans="1:3" x14ac:dyDescent="0.35">
      <c r="A100" s="16" t="s">
        <v>1508</v>
      </c>
      <c r="B100" s="13">
        <v>0</v>
      </c>
      <c r="C100" s="13">
        <v>63.333333333333336</v>
      </c>
    </row>
    <row r="101" spans="1:3" x14ac:dyDescent="0.35">
      <c r="A101" s="16" t="s">
        <v>1509</v>
      </c>
      <c r="B101" s="13">
        <v>35.770000000000003</v>
      </c>
      <c r="C101" s="13">
        <v>55.142857142857146</v>
      </c>
    </row>
    <row r="102" spans="1:3" x14ac:dyDescent="0.35">
      <c r="A102" s="14" t="s">
        <v>1503</v>
      </c>
      <c r="B102" s="13">
        <v>23.080000000000002</v>
      </c>
      <c r="C102" s="13">
        <v>125.9</v>
      </c>
    </row>
    <row r="103" spans="1:3" x14ac:dyDescent="0.35">
      <c r="A103" s="16" t="s">
        <v>1507</v>
      </c>
      <c r="B103" s="13">
        <v>0</v>
      </c>
      <c r="C103" s="13">
        <v>122.2</v>
      </c>
    </row>
    <row r="104" spans="1:3" x14ac:dyDescent="0.35">
      <c r="A104" s="16" t="s">
        <v>1508</v>
      </c>
      <c r="B104" s="13">
        <v>23.080000000000002</v>
      </c>
      <c r="C104" s="13">
        <v>153.5</v>
      </c>
    </row>
    <row r="105" spans="1:3" x14ac:dyDescent="0.35">
      <c r="A105" s="16" t="s">
        <v>1509</v>
      </c>
      <c r="B105" s="13">
        <v>0</v>
      </c>
      <c r="C105" s="13">
        <v>34</v>
      </c>
    </row>
    <row r="106" spans="1:3" x14ac:dyDescent="0.35">
      <c r="A106" s="12" t="s">
        <v>1514</v>
      </c>
      <c r="B106" s="13">
        <v>362.78</v>
      </c>
      <c r="C106" s="13">
        <v>93.674999999999997</v>
      </c>
    </row>
    <row r="107" spans="1:3" x14ac:dyDescent="0.35">
      <c r="A107" s="14" t="s">
        <v>1502</v>
      </c>
      <c r="B107" s="13">
        <v>131.14999999999998</v>
      </c>
      <c r="C107" s="13">
        <v>81.150000000000006</v>
      </c>
    </row>
    <row r="108" spans="1:3" x14ac:dyDescent="0.35">
      <c r="A108" s="16" t="s">
        <v>1507</v>
      </c>
      <c r="B108" s="13">
        <v>94.35</v>
      </c>
      <c r="C108" s="13">
        <v>111.375</v>
      </c>
    </row>
    <row r="109" spans="1:3" x14ac:dyDescent="0.35">
      <c r="A109" s="16" t="s">
        <v>1508</v>
      </c>
      <c r="B109" s="13">
        <v>0</v>
      </c>
      <c r="C109" s="13">
        <v>63.4</v>
      </c>
    </row>
    <row r="110" spans="1:3" x14ac:dyDescent="0.35">
      <c r="A110" s="16" t="s">
        <v>1509</v>
      </c>
      <c r="B110" s="13">
        <v>36.799999999999997</v>
      </c>
      <c r="C110" s="13">
        <v>59.285714285714285</v>
      </c>
    </row>
    <row r="111" spans="1:3" x14ac:dyDescent="0.35">
      <c r="A111" s="14" t="s">
        <v>1505</v>
      </c>
      <c r="B111" s="13">
        <v>65.34</v>
      </c>
      <c r="C111" s="13">
        <v>98.928571428571431</v>
      </c>
    </row>
    <row r="112" spans="1:3" x14ac:dyDescent="0.35">
      <c r="A112" s="16" t="s">
        <v>1507</v>
      </c>
      <c r="B112" s="13">
        <v>36.39</v>
      </c>
      <c r="C112" s="13">
        <v>75.166666666666671</v>
      </c>
    </row>
    <row r="113" spans="1:3" x14ac:dyDescent="0.35">
      <c r="A113" s="16" t="s">
        <v>1508</v>
      </c>
      <c r="B113" s="13">
        <v>0</v>
      </c>
      <c r="C113" s="13">
        <v>127</v>
      </c>
    </row>
    <row r="114" spans="1:3" x14ac:dyDescent="0.35">
      <c r="A114" s="16" t="s">
        <v>1509</v>
      </c>
      <c r="B114" s="13">
        <v>28.950000000000003</v>
      </c>
      <c r="C114" s="13">
        <v>106.5</v>
      </c>
    </row>
    <row r="115" spans="1:3" x14ac:dyDescent="0.35">
      <c r="A115" s="14" t="s">
        <v>1506</v>
      </c>
      <c r="B115" s="13">
        <v>0</v>
      </c>
      <c r="C115" s="13">
        <v>88.166666666666671</v>
      </c>
    </row>
    <row r="116" spans="1:3" x14ac:dyDescent="0.35">
      <c r="A116" s="16" t="s">
        <v>1507</v>
      </c>
      <c r="B116" s="13">
        <v>0</v>
      </c>
      <c r="C116" s="13">
        <v>67.666666666666671</v>
      </c>
    </row>
    <row r="117" spans="1:3" x14ac:dyDescent="0.35">
      <c r="A117" s="16" t="s">
        <v>1508</v>
      </c>
      <c r="B117" s="13">
        <v>0</v>
      </c>
      <c r="C117" s="13">
        <v>101.33333333333333</v>
      </c>
    </row>
    <row r="118" spans="1:3" x14ac:dyDescent="0.35">
      <c r="A118" s="16" t="s">
        <v>1509</v>
      </c>
      <c r="B118" s="13">
        <v>0</v>
      </c>
      <c r="C118" s="13">
        <v>91.833333333333329</v>
      </c>
    </row>
    <row r="119" spans="1:3" x14ac:dyDescent="0.35">
      <c r="A119" s="14" t="s">
        <v>1504</v>
      </c>
      <c r="B119" s="13">
        <v>29.450000000000003</v>
      </c>
      <c r="C119" s="13">
        <v>96.222222222222229</v>
      </c>
    </row>
    <row r="120" spans="1:3" x14ac:dyDescent="0.35">
      <c r="A120" s="16" t="s">
        <v>1507</v>
      </c>
      <c r="B120" s="13">
        <v>0</v>
      </c>
      <c r="C120" s="13">
        <v>89.833333333333329</v>
      </c>
    </row>
    <row r="121" spans="1:3" x14ac:dyDescent="0.35">
      <c r="A121" s="16" t="s">
        <v>1508</v>
      </c>
      <c r="B121" s="13">
        <v>29.450000000000003</v>
      </c>
      <c r="C121" s="13">
        <v>105.625</v>
      </c>
    </row>
    <row r="122" spans="1:3" x14ac:dyDescent="0.35">
      <c r="A122" s="16" t="s">
        <v>1509</v>
      </c>
      <c r="B122" s="13">
        <v>0</v>
      </c>
      <c r="C122" s="13">
        <v>87</v>
      </c>
    </row>
    <row r="123" spans="1:3" x14ac:dyDescent="0.35">
      <c r="A123" s="14" t="s">
        <v>1503</v>
      </c>
      <c r="B123" s="13">
        <v>136.83999999999997</v>
      </c>
      <c r="C123" s="13">
        <v>106</v>
      </c>
    </row>
    <row r="124" spans="1:3" x14ac:dyDescent="0.35">
      <c r="A124" s="16" t="s">
        <v>1507</v>
      </c>
      <c r="B124" s="13">
        <v>56.239999999999995</v>
      </c>
      <c r="C124" s="13">
        <v>116.5</v>
      </c>
    </row>
    <row r="125" spans="1:3" x14ac:dyDescent="0.35">
      <c r="A125" s="16" t="s">
        <v>1508</v>
      </c>
      <c r="B125" s="13">
        <v>37.07</v>
      </c>
      <c r="C125" s="13">
        <v>101.25</v>
      </c>
    </row>
    <row r="126" spans="1:3" x14ac:dyDescent="0.35">
      <c r="A126" s="16" t="s">
        <v>1509</v>
      </c>
      <c r="B126" s="13">
        <v>43.53</v>
      </c>
      <c r="C126" s="13">
        <v>98.666666666666671</v>
      </c>
    </row>
    <row r="127" spans="1:3" x14ac:dyDescent="0.35">
      <c r="A127" s="12" t="s">
        <v>1515</v>
      </c>
      <c r="B127" s="13">
        <v>512.79</v>
      </c>
      <c r="C127" s="13">
        <v>85.193548387096769</v>
      </c>
    </row>
    <row r="128" spans="1:3" x14ac:dyDescent="0.35">
      <c r="A128" s="14" t="s">
        <v>1502</v>
      </c>
      <c r="B128" s="13">
        <v>149.72</v>
      </c>
      <c r="C128" s="13">
        <v>106.55</v>
      </c>
    </row>
    <row r="129" spans="1:3" x14ac:dyDescent="0.35">
      <c r="A129" s="16" t="s">
        <v>1507</v>
      </c>
      <c r="B129" s="13">
        <v>0</v>
      </c>
      <c r="C129" s="13">
        <v>100.33333333333333</v>
      </c>
    </row>
    <row r="130" spans="1:3" x14ac:dyDescent="0.35">
      <c r="A130" s="16" t="s">
        <v>1508</v>
      </c>
      <c r="B130" s="13">
        <v>118.97999999999999</v>
      </c>
      <c r="C130" s="13">
        <v>106.4</v>
      </c>
    </row>
    <row r="131" spans="1:3" x14ac:dyDescent="0.35">
      <c r="A131" s="16" t="s">
        <v>1509</v>
      </c>
      <c r="B131" s="13">
        <v>30.74</v>
      </c>
      <c r="C131" s="13">
        <v>110.77777777777777</v>
      </c>
    </row>
    <row r="132" spans="1:3" x14ac:dyDescent="0.35">
      <c r="A132" s="14" t="s">
        <v>1505</v>
      </c>
      <c r="B132" s="13">
        <v>71.849999999999994</v>
      </c>
      <c r="C132" s="13">
        <v>76.055555555555557</v>
      </c>
    </row>
    <row r="133" spans="1:3" x14ac:dyDescent="0.35">
      <c r="A133" s="16" t="s">
        <v>1507</v>
      </c>
      <c r="B133" s="13">
        <v>38.56</v>
      </c>
      <c r="C133" s="13">
        <v>96.166666666666671</v>
      </c>
    </row>
    <row r="134" spans="1:3" x14ac:dyDescent="0.35">
      <c r="A134" s="16" t="s">
        <v>1508</v>
      </c>
      <c r="B134" s="13">
        <v>33.29</v>
      </c>
      <c r="C134" s="13">
        <v>26.5</v>
      </c>
    </row>
    <row r="135" spans="1:3" x14ac:dyDescent="0.35">
      <c r="A135" s="16" t="s">
        <v>1509</v>
      </c>
      <c r="B135" s="13">
        <v>0</v>
      </c>
      <c r="C135" s="13">
        <v>85.75</v>
      </c>
    </row>
    <row r="136" spans="1:3" x14ac:dyDescent="0.35">
      <c r="A136" s="14" t="s">
        <v>1506</v>
      </c>
      <c r="B136" s="13">
        <v>96.42</v>
      </c>
      <c r="C136" s="13">
        <v>85.272727272727266</v>
      </c>
    </row>
    <row r="137" spans="1:3" x14ac:dyDescent="0.35">
      <c r="A137" s="16" t="s">
        <v>1507</v>
      </c>
      <c r="B137" s="13">
        <v>40.559999999999995</v>
      </c>
      <c r="C137" s="13">
        <v>77.599999999999994</v>
      </c>
    </row>
    <row r="138" spans="1:3" x14ac:dyDescent="0.35">
      <c r="A138" s="16" t="s">
        <v>1508</v>
      </c>
      <c r="B138" s="13">
        <v>55.86</v>
      </c>
      <c r="C138" s="13">
        <v>105.5</v>
      </c>
    </row>
    <row r="139" spans="1:3" x14ac:dyDescent="0.35">
      <c r="A139" s="16" t="s">
        <v>1509</v>
      </c>
      <c r="B139" s="13">
        <v>0</v>
      </c>
      <c r="C139" s="13">
        <v>64</v>
      </c>
    </row>
    <row r="140" spans="1:3" x14ac:dyDescent="0.35">
      <c r="A140" s="14" t="s">
        <v>1504</v>
      </c>
      <c r="B140" s="13">
        <v>86.240000000000009</v>
      </c>
      <c r="C140" s="13">
        <v>69.277777777777771</v>
      </c>
    </row>
    <row r="141" spans="1:3" x14ac:dyDescent="0.35">
      <c r="A141" s="16" t="s">
        <v>1507</v>
      </c>
      <c r="B141" s="13">
        <v>0</v>
      </c>
      <c r="C141" s="13">
        <v>80.599999999999994</v>
      </c>
    </row>
    <row r="142" spans="1:3" x14ac:dyDescent="0.35">
      <c r="A142" s="16" t="s">
        <v>1508</v>
      </c>
      <c r="B142" s="13">
        <v>32.1</v>
      </c>
      <c r="C142" s="13">
        <v>56.5</v>
      </c>
    </row>
    <row r="143" spans="1:3" x14ac:dyDescent="0.35">
      <c r="A143" s="16" t="s">
        <v>1509</v>
      </c>
      <c r="B143" s="13">
        <v>54.14</v>
      </c>
      <c r="C143" s="13">
        <v>78.400000000000006</v>
      </c>
    </row>
    <row r="144" spans="1:3" x14ac:dyDescent="0.35">
      <c r="A144" s="14" t="s">
        <v>1503</v>
      </c>
      <c r="B144" s="13">
        <v>108.56</v>
      </c>
      <c r="C144" s="13">
        <v>86.666666666666671</v>
      </c>
    </row>
    <row r="145" spans="1:3" x14ac:dyDescent="0.35">
      <c r="A145" s="16" t="s">
        <v>1507</v>
      </c>
      <c r="B145" s="13">
        <v>108.56</v>
      </c>
      <c r="C145" s="13">
        <v>84.333333333333329</v>
      </c>
    </row>
    <row r="146" spans="1:3" x14ac:dyDescent="0.35">
      <c r="A146" s="16" t="s">
        <v>1508</v>
      </c>
      <c r="B146" s="13">
        <v>0</v>
      </c>
      <c r="C146" s="13">
        <v>33</v>
      </c>
    </row>
    <row r="147" spans="1:3" x14ac:dyDescent="0.35">
      <c r="A147" s="16" t="s">
        <v>1509</v>
      </c>
      <c r="B147" s="13">
        <v>0</v>
      </c>
      <c r="C147" s="13">
        <v>101.6</v>
      </c>
    </row>
    <row r="148" spans="1:3" x14ac:dyDescent="0.35">
      <c r="A148" s="12" t="s">
        <v>1532</v>
      </c>
      <c r="B148" s="13">
        <v>2631.2699999999991</v>
      </c>
      <c r="C148" s="13">
        <v>90.64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
  <sheetViews>
    <sheetView showGridLines="0" showRowColHeaders="0" tabSelected="1" zoomScale="37" zoomScaleNormal="38" workbookViewId="0">
      <selection activeCell="W11" sqref="W11"/>
    </sheetView>
  </sheetViews>
  <sheetFormatPr defaultRowHeight="14.5" x14ac:dyDescent="0.35"/>
  <cols>
    <col min="1" max="16384" width="8.7265625" style="20"/>
  </cols>
  <sheetData>
    <row r="1" spans="1:23" ht="26" customHeight="1" x14ac:dyDescent="0.35">
      <c r="A1" s="21" t="s">
        <v>1552</v>
      </c>
      <c r="B1" s="19"/>
      <c r="C1" s="19"/>
      <c r="D1" s="19"/>
      <c r="E1" s="19"/>
      <c r="F1" s="19"/>
      <c r="G1" s="19"/>
      <c r="H1" s="19"/>
      <c r="I1" s="19"/>
      <c r="J1" s="19"/>
      <c r="K1" s="19"/>
      <c r="L1" s="19"/>
      <c r="M1" s="19"/>
      <c r="N1" s="19"/>
      <c r="O1" s="19"/>
      <c r="P1" s="19"/>
      <c r="Q1" s="19"/>
      <c r="R1" s="19"/>
      <c r="S1" s="19"/>
      <c r="T1" s="19"/>
      <c r="U1" s="19"/>
      <c r="V1" s="19"/>
      <c r="W1" s="19"/>
    </row>
    <row r="2" spans="1:23" ht="26" customHeight="1" x14ac:dyDescent="0.35">
      <c r="A2" s="19"/>
      <c r="B2" s="19"/>
      <c r="C2" s="19"/>
      <c r="D2" s="19"/>
      <c r="E2" s="19"/>
      <c r="F2" s="19"/>
      <c r="G2" s="19"/>
      <c r="H2" s="19"/>
      <c r="I2" s="19"/>
      <c r="J2" s="19"/>
      <c r="K2" s="19"/>
      <c r="L2" s="19"/>
      <c r="M2" s="19"/>
      <c r="N2" s="19"/>
      <c r="O2" s="19"/>
      <c r="P2" s="19"/>
      <c r="Q2" s="19"/>
      <c r="R2" s="19"/>
      <c r="S2" s="19"/>
      <c r="T2" s="19"/>
      <c r="U2" s="19"/>
      <c r="V2" s="19"/>
      <c r="W2" s="19"/>
    </row>
    <row r="3" spans="1:23" ht="26" customHeight="1" x14ac:dyDescent="0.35">
      <c r="A3" s="19"/>
      <c r="B3" s="19"/>
      <c r="C3" s="19"/>
      <c r="D3" s="19"/>
      <c r="E3" s="19"/>
      <c r="F3" s="19"/>
      <c r="G3" s="19"/>
      <c r="H3" s="19"/>
      <c r="I3" s="19"/>
      <c r="J3" s="19"/>
      <c r="K3" s="19"/>
      <c r="L3" s="19"/>
      <c r="M3" s="19"/>
      <c r="N3" s="19"/>
      <c r="O3" s="19"/>
      <c r="P3" s="19"/>
      <c r="Q3" s="19"/>
      <c r="R3" s="19"/>
      <c r="S3" s="19"/>
      <c r="T3" s="19"/>
      <c r="U3" s="19"/>
      <c r="V3" s="19"/>
      <c r="W3" s="19"/>
    </row>
  </sheetData>
  <mergeCells count="1">
    <mergeCell ref="A1: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1"/>
  <sheetViews>
    <sheetView topLeftCell="I1" workbookViewId="0">
      <selection activeCell="U1" sqref="U1"/>
    </sheetView>
  </sheetViews>
  <sheetFormatPr defaultRowHeight="14.5" x14ac:dyDescent="0.35"/>
  <cols>
    <col min="3" max="3" width="18.453125" bestFit="1" customWidth="1"/>
    <col min="4" max="4" width="14" bestFit="1" customWidth="1"/>
    <col min="5" max="5" width="8.1796875" style="9" bestFit="1" customWidth="1"/>
    <col min="6" max="6" width="8.7265625" style="9"/>
    <col min="7" max="7" width="11.453125" style="7" bestFit="1" customWidth="1"/>
    <col min="8" max="8" width="20" style="5" bestFit="1" customWidth="1"/>
    <col min="9" max="9" width="19" style="3" bestFit="1" customWidth="1"/>
    <col min="10" max="10" width="13" bestFit="1" customWidth="1"/>
    <col min="11" max="11" width="12.7265625" bestFit="1" customWidth="1"/>
    <col min="12" max="12" width="10.453125" bestFit="1" customWidth="1"/>
    <col min="13" max="13" width="12.54296875" bestFit="1" customWidth="1"/>
    <col min="14" max="14" width="11.26953125" bestFit="1" customWidth="1"/>
    <col min="17" max="17" width="15" customWidth="1"/>
    <col min="18" max="18" width="10.36328125" bestFit="1" customWidth="1"/>
  </cols>
  <sheetData>
    <row r="1" spans="1:21" x14ac:dyDescent="0.35">
      <c r="A1" s="1" t="s">
        <v>0</v>
      </c>
      <c r="B1" s="1" t="s">
        <v>1</v>
      </c>
      <c r="C1" s="1" t="s">
        <v>2</v>
      </c>
      <c r="D1" s="1" t="s">
        <v>3</v>
      </c>
      <c r="E1" s="8" t="s">
        <v>4</v>
      </c>
      <c r="F1" s="8" t="s">
        <v>5</v>
      </c>
      <c r="G1" s="6" t="s">
        <v>6</v>
      </c>
      <c r="H1" s="4" t="s">
        <v>7</v>
      </c>
      <c r="I1" s="2" t="s">
        <v>8</v>
      </c>
      <c r="J1" s="1" t="s">
        <v>9</v>
      </c>
      <c r="K1" s="1" t="s">
        <v>10</v>
      </c>
      <c r="L1" s="1" t="s">
        <v>11</v>
      </c>
      <c r="M1" s="1" t="s">
        <v>12</v>
      </c>
      <c r="N1" s="1" t="s">
        <v>13</v>
      </c>
      <c r="O1" s="10" t="s">
        <v>1529</v>
      </c>
      <c r="P1" s="10" t="s">
        <v>1530</v>
      </c>
      <c r="Q1" s="10" t="s">
        <v>1534</v>
      </c>
      <c r="R1" s="10" t="s">
        <v>1535</v>
      </c>
      <c r="S1" s="10" t="s">
        <v>1537</v>
      </c>
      <c r="U1" s="18" t="s">
        <v>1553</v>
      </c>
    </row>
    <row r="2" spans="1:21" x14ac:dyDescent="0.35">
      <c r="A2" t="s">
        <v>14</v>
      </c>
      <c r="B2" t="s">
        <v>514</v>
      </c>
      <c r="C2" t="s">
        <v>1003</v>
      </c>
      <c r="D2" t="s">
        <v>1502</v>
      </c>
      <c r="E2" s="9" t="s">
        <v>1507</v>
      </c>
      <c r="F2" s="9" t="s">
        <v>1510</v>
      </c>
      <c r="G2" s="7">
        <v>45696</v>
      </c>
      <c r="H2" s="5">
        <v>179</v>
      </c>
      <c r="I2" s="3">
        <v>0</v>
      </c>
      <c r="J2" t="s">
        <v>1516</v>
      </c>
      <c r="K2" t="s">
        <v>1521</v>
      </c>
      <c r="L2" t="s">
        <v>1525</v>
      </c>
      <c r="M2">
        <v>42</v>
      </c>
      <c r="N2" t="s">
        <v>1527</v>
      </c>
      <c r="O2">
        <f>YEAR(G2)</f>
        <v>2025</v>
      </c>
      <c r="P2">
        <f>MONTH(G2)</f>
        <v>2</v>
      </c>
      <c r="Q2" s="3">
        <f>SUM(I2:I501)/COUNTA(B2:B501)</f>
        <v>5.2625399999999996</v>
      </c>
      <c r="R2">
        <f>IF(K2="Completed",1,0)</f>
        <v>1</v>
      </c>
      <c r="S2" t="str">
        <f>IF((H2&gt;T2),"Suspicious","Normal")</f>
        <v>Suspicious</v>
      </c>
      <c r="T2">
        <f>_xlfn.PERCENTILE.INC(H2:H501,0.95)</f>
        <v>172</v>
      </c>
      <c r="U2" t="str">
        <f>TEXT(G2,"yyyy-mm")</f>
        <v>2025-02</v>
      </c>
    </row>
    <row r="3" spans="1:21" x14ac:dyDescent="0.35">
      <c r="A3" t="s">
        <v>15</v>
      </c>
      <c r="B3" t="s">
        <v>515</v>
      </c>
      <c r="C3" t="s">
        <v>1004</v>
      </c>
      <c r="D3" t="s">
        <v>1503</v>
      </c>
      <c r="E3" s="9" t="s">
        <v>1508</v>
      </c>
      <c r="F3" s="9" t="s">
        <v>1511</v>
      </c>
      <c r="G3" s="7">
        <v>45642</v>
      </c>
      <c r="H3" s="5">
        <v>75</v>
      </c>
      <c r="I3" s="3">
        <v>26.02</v>
      </c>
      <c r="J3" t="s">
        <v>1517</v>
      </c>
      <c r="K3" t="s">
        <v>1521</v>
      </c>
      <c r="L3" t="s">
        <v>1526</v>
      </c>
      <c r="M3">
        <v>11</v>
      </c>
      <c r="N3" t="s">
        <v>1528</v>
      </c>
      <c r="O3">
        <f t="shared" ref="O3:O66" si="0">YEAR(G3)</f>
        <v>2024</v>
      </c>
      <c r="P3">
        <f t="shared" ref="P3:P66" si="1">MONTH(G3)</f>
        <v>12</v>
      </c>
      <c r="Q3" s="3">
        <f t="shared" ref="Q3:Q66" si="2">SUM(I3:I502)/COUNTA(B3:B502)</f>
        <v>5.2730861723446889</v>
      </c>
      <c r="R3">
        <f t="shared" ref="R3:R66" si="3">IF(K3="Completed",1,0)</f>
        <v>1</v>
      </c>
      <c r="S3" t="str">
        <f t="shared" ref="S3:S66" si="4">IF((H3&gt;$T$2),"Suspicious","Normal")</f>
        <v>Normal</v>
      </c>
      <c r="U3" t="str">
        <f t="shared" ref="U3:U66" si="5">TEXT(G3,"yyyy-mm")</f>
        <v>2024-12</v>
      </c>
    </row>
    <row r="4" spans="1:21" x14ac:dyDescent="0.35">
      <c r="A4" t="s">
        <v>16</v>
      </c>
      <c r="B4" t="s">
        <v>516</v>
      </c>
      <c r="C4" t="s">
        <v>1005</v>
      </c>
      <c r="D4" t="s">
        <v>1504</v>
      </c>
      <c r="E4" s="9" t="s">
        <v>1507</v>
      </c>
      <c r="F4" s="9" t="s">
        <v>1510</v>
      </c>
      <c r="G4" s="7">
        <v>45643</v>
      </c>
      <c r="H4" s="5">
        <v>36</v>
      </c>
      <c r="I4" s="3">
        <v>2.94</v>
      </c>
      <c r="J4" t="s">
        <v>1518</v>
      </c>
      <c r="K4" t="s">
        <v>1521</v>
      </c>
      <c r="L4" t="s">
        <v>1526</v>
      </c>
      <c r="M4">
        <v>4</v>
      </c>
      <c r="N4" t="s">
        <v>1528</v>
      </c>
      <c r="O4">
        <f t="shared" si="0"/>
        <v>2024</v>
      </c>
      <c r="P4">
        <f t="shared" si="1"/>
        <v>12</v>
      </c>
      <c r="Q4" s="3">
        <f t="shared" si="2"/>
        <v>5.2314257028112454</v>
      </c>
      <c r="R4">
        <f t="shared" si="3"/>
        <v>1</v>
      </c>
      <c r="S4" t="str">
        <f t="shared" si="4"/>
        <v>Normal</v>
      </c>
      <c r="U4" t="str">
        <f t="shared" si="5"/>
        <v>2024-12</v>
      </c>
    </row>
    <row r="5" spans="1:21" x14ac:dyDescent="0.35">
      <c r="A5" t="s">
        <v>17</v>
      </c>
      <c r="B5" t="s">
        <v>517</v>
      </c>
      <c r="C5" t="s">
        <v>1006</v>
      </c>
      <c r="D5" t="s">
        <v>1505</v>
      </c>
      <c r="E5" s="9" t="s">
        <v>1508</v>
      </c>
      <c r="F5" s="9" t="s">
        <v>1511</v>
      </c>
      <c r="G5" s="7">
        <v>45820</v>
      </c>
      <c r="H5" s="5">
        <v>153</v>
      </c>
      <c r="I5" s="3">
        <v>0</v>
      </c>
      <c r="J5" t="s">
        <v>1516</v>
      </c>
      <c r="K5" t="s">
        <v>1521</v>
      </c>
      <c r="L5" t="s">
        <v>1525</v>
      </c>
      <c r="M5">
        <v>18</v>
      </c>
      <c r="N5" t="s">
        <v>1527</v>
      </c>
      <c r="O5">
        <f t="shared" si="0"/>
        <v>2025</v>
      </c>
      <c r="P5">
        <f t="shared" si="1"/>
        <v>6</v>
      </c>
      <c r="Q5" s="3">
        <f t="shared" si="2"/>
        <v>5.2360362173038224</v>
      </c>
      <c r="R5">
        <f t="shared" si="3"/>
        <v>1</v>
      </c>
      <c r="S5" t="str">
        <f t="shared" si="4"/>
        <v>Normal</v>
      </c>
      <c r="U5" t="str">
        <f t="shared" si="5"/>
        <v>2025-06</v>
      </c>
    </row>
    <row r="6" spans="1:21" x14ac:dyDescent="0.35">
      <c r="A6" t="s">
        <v>18</v>
      </c>
      <c r="B6" t="s">
        <v>518</v>
      </c>
      <c r="C6" t="s">
        <v>1007</v>
      </c>
      <c r="D6" t="s">
        <v>1503</v>
      </c>
      <c r="E6" s="9" t="s">
        <v>1508</v>
      </c>
      <c r="F6" s="9" t="s">
        <v>1512</v>
      </c>
      <c r="G6" s="7">
        <v>45798</v>
      </c>
      <c r="H6" s="5">
        <v>109</v>
      </c>
      <c r="I6" s="3">
        <v>5.48</v>
      </c>
      <c r="J6" t="s">
        <v>1517</v>
      </c>
      <c r="K6" t="s">
        <v>1522</v>
      </c>
      <c r="L6" t="s">
        <v>1526</v>
      </c>
      <c r="M6">
        <v>5</v>
      </c>
      <c r="N6" t="s">
        <v>1528</v>
      </c>
      <c r="O6">
        <f t="shared" si="0"/>
        <v>2025</v>
      </c>
      <c r="P6">
        <f t="shared" si="1"/>
        <v>5</v>
      </c>
      <c r="Q6" s="3">
        <f t="shared" si="2"/>
        <v>5.2465927419354834</v>
      </c>
      <c r="R6">
        <f t="shared" si="3"/>
        <v>0</v>
      </c>
      <c r="S6" t="str">
        <f t="shared" si="4"/>
        <v>Normal</v>
      </c>
      <c r="U6" t="str">
        <f t="shared" si="5"/>
        <v>2025-05</v>
      </c>
    </row>
    <row r="7" spans="1:21" x14ac:dyDescent="0.35">
      <c r="A7" t="s">
        <v>19</v>
      </c>
      <c r="B7" t="s">
        <v>519</v>
      </c>
      <c r="C7" t="s">
        <v>1008</v>
      </c>
      <c r="D7" t="s">
        <v>1503</v>
      </c>
      <c r="E7" s="9" t="s">
        <v>1508</v>
      </c>
      <c r="F7" s="9" t="s">
        <v>1512</v>
      </c>
      <c r="G7" s="7">
        <v>45743</v>
      </c>
      <c r="H7" s="5">
        <v>46</v>
      </c>
      <c r="I7" s="3">
        <v>0</v>
      </c>
      <c r="J7" t="s">
        <v>1516</v>
      </c>
      <c r="K7" t="s">
        <v>1522</v>
      </c>
      <c r="L7" t="s">
        <v>1525</v>
      </c>
      <c r="M7">
        <v>39</v>
      </c>
      <c r="N7" t="s">
        <v>1528</v>
      </c>
      <c r="O7">
        <f t="shared" si="0"/>
        <v>2025</v>
      </c>
      <c r="P7">
        <f t="shared" si="1"/>
        <v>3</v>
      </c>
      <c r="Q7" s="3">
        <f t="shared" si="2"/>
        <v>5.2461212121212117</v>
      </c>
      <c r="R7">
        <f t="shared" si="3"/>
        <v>0</v>
      </c>
      <c r="S7" t="str">
        <f t="shared" si="4"/>
        <v>Normal</v>
      </c>
      <c r="U7" t="str">
        <f t="shared" si="5"/>
        <v>2025-03</v>
      </c>
    </row>
    <row r="8" spans="1:21" x14ac:dyDescent="0.35">
      <c r="A8" t="s">
        <v>20</v>
      </c>
      <c r="B8" t="s">
        <v>520</v>
      </c>
      <c r="C8" t="s">
        <v>1009</v>
      </c>
      <c r="D8" t="s">
        <v>1505</v>
      </c>
      <c r="E8" s="9" t="s">
        <v>1507</v>
      </c>
      <c r="F8" s="9" t="s">
        <v>1513</v>
      </c>
      <c r="G8" s="7">
        <v>45759</v>
      </c>
      <c r="H8" s="5">
        <v>134</v>
      </c>
      <c r="I8" s="3">
        <v>42.57</v>
      </c>
      <c r="J8" t="s">
        <v>1519</v>
      </c>
      <c r="K8" t="s">
        <v>1523</v>
      </c>
      <c r="L8" t="s">
        <v>1526</v>
      </c>
      <c r="M8">
        <v>40</v>
      </c>
      <c r="N8" t="s">
        <v>1527</v>
      </c>
      <c r="O8">
        <f t="shared" si="0"/>
        <v>2025</v>
      </c>
      <c r="P8">
        <f t="shared" si="1"/>
        <v>4</v>
      </c>
      <c r="Q8" s="3">
        <f t="shared" si="2"/>
        <v>5.2567408906882589</v>
      </c>
      <c r="R8">
        <f t="shared" si="3"/>
        <v>0</v>
      </c>
      <c r="S8" t="str">
        <f t="shared" si="4"/>
        <v>Normal</v>
      </c>
      <c r="U8" t="str">
        <f t="shared" si="5"/>
        <v>2025-04</v>
      </c>
    </row>
    <row r="9" spans="1:21" x14ac:dyDescent="0.35">
      <c r="A9" t="s">
        <v>21</v>
      </c>
      <c r="B9" t="s">
        <v>521</v>
      </c>
      <c r="C9" t="s">
        <v>1010</v>
      </c>
      <c r="D9" t="s">
        <v>1502</v>
      </c>
      <c r="E9" s="9" t="s">
        <v>1509</v>
      </c>
      <c r="F9" s="9" t="s">
        <v>1514</v>
      </c>
      <c r="G9" s="7">
        <v>45666</v>
      </c>
      <c r="H9" s="5">
        <v>38</v>
      </c>
      <c r="I9" s="3">
        <v>0</v>
      </c>
      <c r="J9" t="s">
        <v>1516</v>
      </c>
      <c r="K9" t="s">
        <v>1523</v>
      </c>
      <c r="L9" t="s">
        <v>1525</v>
      </c>
      <c r="M9">
        <v>14</v>
      </c>
      <c r="N9" t="s">
        <v>1528</v>
      </c>
      <c r="O9">
        <f t="shared" si="0"/>
        <v>2025</v>
      </c>
      <c r="P9">
        <f t="shared" si="1"/>
        <v>1</v>
      </c>
      <c r="Q9" s="3">
        <f t="shared" si="2"/>
        <v>5.1810547667342792</v>
      </c>
      <c r="R9">
        <f t="shared" si="3"/>
        <v>0</v>
      </c>
      <c r="S9" t="str">
        <f t="shared" si="4"/>
        <v>Normal</v>
      </c>
      <c r="U9" t="str">
        <f t="shared" si="5"/>
        <v>2025-01</v>
      </c>
    </row>
    <row r="10" spans="1:21" x14ac:dyDescent="0.35">
      <c r="A10" t="s">
        <v>22</v>
      </c>
      <c r="B10" t="s">
        <v>522</v>
      </c>
      <c r="C10" t="s">
        <v>1011</v>
      </c>
      <c r="D10" t="s">
        <v>1505</v>
      </c>
      <c r="E10" s="9" t="s">
        <v>1509</v>
      </c>
      <c r="F10" s="9" t="s">
        <v>1510</v>
      </c>
      <c r="G10" s="7">
        <v>45695</v>
      </c>
      <c r="H10" s="5">
        <v>24</v>
      </c>
      <c r="I10" s="3">
        <v>0</v>
      </c>
      <c r="J10" t="s">
        <v>1516</v>
      </c>
      <c r="K10" t="s">
        <v>1523</v>
      </c>
      <c r="L10" t="s">
        <v>1525</v>
      </c>
      <c r="M10">
        <v>45</v>
      </c>
      <c r="N10" t="s">
        <v>1528</v>
      </c>
      <c r="O10">
        <f t="shared" si="0"/>
        <v>2025</v>
      </c>
      <c r="P10">
        <f t="shared" si="1"/>
        <v>2</v>
      </c>
      <c r="Q10" s="3">
        <f t="shared" si="2"/>
        <v>5.1915853658536584</v>
      </c>
      <c r="R10">
        <f t="shared" si="3"/>
        <v>0</v>
      </c>
      <c r="S10" t="str">
        <f t="shared" si="4"/>
        <v>Normal</v>
      </c>
      <c r="U10" t="str">
        <f t="shared" si="5"/>
        <v>2025-02</v>
      </c>
    </row>
    <row r="11" spans="1:21" x14ac:dyDescent="0.35">
      <c r="A11" t="s">
        <v>23</v>
      </c>
      <c r="B11" t="s">
        <v>523</v>
      </c>
      <c r="C11" t="s">
        <v>1012</v>
      </c>
      <c r="D11" t="s">
        <v>1503</v>
      </c>
      <c r="E11" s="9" t="s">
        <v>1509</v>
      </c>
      <c r="F11" s="9" t="s">
        <v>1512</v>
      </c>
      <c r="G11" s="7">
        <v>45791</v>
      </c>
      <c r="H11" s="5">
        <v>138</v>
      </c>
      <c r="I11" s="3">
        <v>0</v>
      </c>
      <c r="J11" t="s">
        <v>1516</v>
      </c>
      <c r="K11" t="s">
        <v>1523</v>
      </c>
      <c r="L11" t="s">
        <v>1525</v>
      </c>
      <c r="M11">
        <v>48</v>
      </c>
      <c r="N11" t="s">
        <v>1528</v>
      </c>
      <c r="O11">
        <f t="shared" si="0"/>
        <v>2025</v>
      </c>
      <c r="P11">
        <f t="shared" si="1"/>
        <v>5</v>
      </c>
      <c r="Q11" s="3">
        <f t="shared" si="2"/>
        <v>5.202158859470468</v>
      </c>
      <c r="R11">
        <f t="shared" si="3"/>
        <v>0</v>
      </c>
      <c r="S11" t="str">
        <f t="shared" si="4"/>
        <v>Normal</v>
      </c>
      <c r="U11" t="str">
        <f t="shared" si="5"/>
        <v>2025-05</v>
      </c>
    </row>
    <row r="12" spans="1:21" x14ac:dyDescent="0.35">
      <c r="A12" t="s">
        <v>24</v>
      </c>
      <c r="B12" t="s">
        <v>524</v>
      </c>
      <c r="C12" t="s">
        <v>1013</v>
      </c>
      <c r="D12" t="s">
        <v>1504</v>
      </c>
      <c r="E12" s="9" t="s">
        <v>1507</v>
      </c>
      <c r="F12" s="9" t="s">
        <v>1512</v>
      </c>
      <c r="G12" s="7">
        <v>45756</v>
      </c>
      <c r="H12" s="5">
        <v>26</v>
      </c>
      <c r="I12" s="3">
        <v>0</v>
      </c>
      <c r="J12" t="s">
        <v>1516</v>
      </c>
      <c r="K12" t="s">
        <v>1522</v>
      </c>
      <c r="L12" t="s">
        <v>1525</v>
      </c>
      <c r="M12">
        <v>27</v>
      </c>
      <c r="N12" t="s">
        <v>1528</v>
      </c>
      <c r="O12">
        <f t="shared" si="0"/>
        <v>2025</v>
      </c>
      <c r="P12">
        <f t="shared" si="1"/>
        <v>4</v>
      </c>
      <c r="Q12" s="3">
        <f t="shared" si="2"/>
        <v>5.2127755102040814</v>
      </c>
      <c r="R12">
        <f t="shared" si="3"/>
        <v>0</v>
      </c>
      <c r="S12" t="str">
        <f t="shared" si="4"/>
        <v>Normal</v>
      </c>
      <c r="U12" t="str">
        <f t="shared" si="5"/>
        <v>2025-04</v>
      </c>
    </row>
    <row r="13" spans="1:21" x14ac:dyDescent="0.35">
      <c r="A13" t="s">
        <v>25</v>
      </c>
      <c r="B13" t="s">
        <v>525</v>
      </c>
      <c r="C13" t="s">
        <v>1014</v>
      </c>
      <c r="D13" t="s">
        <v>1503</v>
      </c>
      <c r="E13" s="9" t="s">
        <v>1509</v>
      </c>
      <c r="F13" s="9" t="s">
        <v>1512</v>
      </c>
      <c r="G13" s="7">
        <v>45768</v>
      </c>
      <c r="H13" s="5">
        <v>142</v>
      </c>
      <c r="I13" s="3">
        <v>0</v>
      </c>
      <c r="J13" t="s">
        <v>1516</v>
      </c>
      <c r="K13" t="s">
        <v>1521</v>
      </c>
      <c r="L13" t="s">
        <v>1525</v>
      </c>
      <c r="M13">
        <v>23</v>
      </c>
      <c r="N13" t="s">
        <v>1528</v>
      </c>
      <c r="O13">
        <f t="shared" si="0"/>
        <v>2025</v>
      </c>
      <c r="P13">
        <f t="shared" si="1"/>
        <v>4</v>
      </c>
      <c r="Q13" s="3">
        <f t="shared" si="2"/>
        <v>5.2234355828220851</v>
      </c>
      <c r="R13">
        <f t="shared" si="3"/>
        <v>1</v>
      </c>
      <c r="S13" t="str">
        <f t="shared" si="4"/>
        <v>Normal</v>
      </c>
      <c r="U13" t="str">
        <f t="shared" si="5"/>
        <v>2025-04</v>
      </c>
    </row>
    <row r="14" spans="1:21" x14ac:dyDescent="0.35">
      <c r="A14" t="s">
        <v>26</v>
      </c>
      <c r="B14" t="s">
        <v>526</v>
      </c>
      <c r="C14" t="s">
        <v>1015</v>
      </c>
      <c r="D14" t="s">
        <v>1504</v>
      </c>
      <c r="E14" s="9" t="s">
        <v>1508</v>
      </c>
      <c r="F14" s="9" t="s">
        <v>1514</v>
      </c>
      <c r="G14" s="7">
        <v>45724</v>
      </c>
      <c r="H14" s="5">
        <v>100</v>
      </c>
      <c r="I14" s="3">
        <v>0</v>
      </c>
      <c r="J14" t="s">
        <v>1516</v>
      </c>
      <c r="K14" t="s">
        <v>1521</v>
      </c>
      <c r="L14" t="s">
        <v>1525</v>
      </c>
      <c r="M14">
        <v>36</v>
      </c>
      <c r="N14" t="s">
        <v>1528</v>
      </c>
      <c r="O14">
        <f t="shared" si="0"/>
        <v>2025</v>
      </c>
      <c r="P14">
        <f t="shared" si="1"/>
        <v>3</v>
      </c>
      <c r="Q14" s="3">
        <f t="shared" si="2"/>
        <v>5.234139344262295</v>
      </c>
      <c r="R14">
        <f t="shared" si="3"/>
        <v>1</v>
      </c>
      <c r="S14" t="str">
        <f t="shared" si="4"/>
        <v>Normal</v>
      </c>
      <c r="U14" t="str">
        <f t="shared" si="5"/>
        <v>2025-03</v>
      </c>
    </row>
    <row r="15" spans="1:21" x14ac:dyDescent="0.35">
      <c r="A15" t="s">
        <v>27</v>
      </c>
      <c r="B15" t="s">
        <v>527</v>
      </c>
      <c r="C15" t="s">
        <v>1016</v>
      </c>
      <c r="D15" t="s">
        <v>1502</v>
      </c>
      <c r="E15" s="9" t="s">
        <v>1509</v>
      </c>
      <c r="F15" s="9" t="s">
        <v>1510</v>
      </c>
      <c r="G15" s="7">
        <v>45794</v>
      </c>
      <c r="H15" s="5">
        <v>78</v>
      </c>
      <c r="I15" s="3">
        <v>0</v>
      </c>
      <c r="J15" t="s">
        <v>1516</v>
      </c>
      <c r="K15" t="s">
        <v>1521</v>
      </c>
      <c r="L15" t="s">
        <v>1525</v>
      </c>
      <c r="M15">
        <v>35</v>
      </c>
      <c r="N15" t="s">
        <v>1528</v>
      </c>
      <c r="O15">
        <f t="shared" si="0"/>
        <v>2025</v>
      </c>
      <c r="P15">
        <f t="shared" si="1"/>
        <v>5</v>
      </c>
      <c r="Q15" s="3">
        <f t="shared" si="2"/>
        <v>5.24488706365503</v>
      </c>
      <c r="R15">
        <f t="shared" si="3"/>
        <v>1</v>
      </c>
      <c r="S15" t="str">
        <f t="shared" si="4"/>
        <v>Normal</v>
      </c>
      <c r="U15" t="str">
        <f t="shared" si="5"/>
        <v>2025-05</v>
      </c>
    </row>
    <row r="16" spans="1:21" x14ac:dyDescent="0.35">
      <c r="A16" t="s">
        <v>28</v>
      </c>
      <c r="B16" t="s">
        <v>528</v>
      </c>
      <c r="C16" t="s">
        <v>1017</v>
      </c>
      <c r="D16" t="s">
        <v>1506</v>
      </c>
      <c r="E16" s="9" t="s">
        <v>1509</v>
      </c>
      <c r="F16" s="9" t="s">
        <v>1515</v>
      </c>
      <c r="G16" s="7">
        <v>45719</v>
      </c>
      <c r="H16" s="5">
        <v>151</v>
      </c>
      <c r="I16" s="3">
        <v>0</v>
      </c>
      <c r="J16" t="s">
        <v>1516</v>
      </c>
      <c r="K16" t="s">
        <v>1521</v>
      </c>
      <c r="L16" t="s">
        <v>1525</v>
      </c>
      <c r="M16">
        <v>47</v>
      </c>
      <c r="N16" t="s">
        <v>1527</v>
      </c>
      <c r="O16">
        <f t="shared" si="0"/>
        <v>2025</v>
      </c>
      <c r="P16">
        <f t="shared" si="1"/>
        <v>3</v>
      </c>
      <c r="Q16" s="3">
        <f t="shared" si="2"/>
        <v>5.2556790123456789</v>
      </c>
      <c r="R16">
        <f t="shared" si="3"/>
        <v>1</v>
      </c>
      <c r="S16" t="str">
        <f t="shared" si="4"/>
        <v>Normal</v>
      </c>
      <c r="U16" t="str">
        <f t="shared" si="5"/>
        <v>2025-03</v>
      </c>
    </row>
    <row r="17" spans="1:21" x14ac:dyDescent="0.35">
      <c r="A17" t="s">
        <v>29</v>
      </c>
      <c r="B17" t="s">
        <v>529</v>
      </c>
      <c r="C17" t="s">
        <v>1018</v>
      </c>
      <c r="D17" t="s">
        <v>1502</v>
      </c>
      <c r="E17" s="9" t="s">
        <v>1508</v>
      </c>
      <c r="F17" s="9" t="s">
        <v>1510</v>
      </c>
      <c r="G17" s="7">
        <v>45664</v>
      </c>
      <c r="H17" s="5">
        <v>163</v>
      </c>
      <c r="I17" s="3">
        <v>0</v>
      </c>
      <c r="J17" t="s">
        <v>1516</v>
      </c>
      <c r="K17" t="s">
        <v>1521</v>
      </c>
      <c r="L17" t="s">
        <v>1525</v>
      </c>
      <c r="M17">
        <v>50</v>
      </c>
      <c r="N17" t="s">
        <v>1527</v>
      </c>
      <c r="O17">
        <f t="shared" si="0"/>
        <v>2025</v>
      </c>
      <c r="P17">
        <f t="shared" si="1"/>
        <v>1</v>
      </c>
      <c r="Q17" s="3">
        <f t="shared" si="2"/>
        <v>5.2665154639175249</v>
      </c>
      <c r="R17">
        <f t="shared" si="3"/>
        <v>1</v>
      </c>
      <c r="S17" t="str">
        <f t="shared" si="4"/>
        <v>Normal</v>
      </c>
      <c r="U17" t="str">
        <f t="shared" si="5"/>
        <v>2025-01</v>
      </c>
    </row>
    <row r="18" spans="1:21" x14ac:dyDescent="0.35">
      <c r="A18" t="s">
        <v>30</v>
      </c>
      <c r="B18" t="s">
        <v>530</v>
      </c>
      <c r="C18" t="s">
        <v>1019</v>
      </c>
      <c r="D18" t="s">
        <v>1502</v>
      </c>
      <c r="E18" s="9" t="s">
        <v>1509</v>
      </c>
      <c r="F18" s="9" t="s">
        <v>1510</v>
      </c>
      <c r="G18" s="7">
        <v>45681</v>
      </c>
      <c r="H18" s="5">
        <v>128</v>
      </c>
      <c r="I18" s="3">
        <v>0</v>
      </c>
      <c r="J18" t="s">
        <v>1516</v>
      </c>
      <c r="K18" t="s">
        <v>1524</v>
      </c>
      <c r="L18" t="s">
        <v>1525</v>
      </c>
      <c r="M18">
        <v>7</v>
      </c>
      <c r="N18" t="s">
        <v>1528</v>
      </c>
      <c r="O18">
        <f t="shared" si="0"/>
        <v>2025</v>
      </c>
      <c r="P18">
        <f t="shared" si="1"/>
        <v>1</v>
      </c>
      <c r="Q18" s="3">
        <f t="shared" si="2"/>
        <v>5.2773966942148753</v>
      </c>
      <c r="R18">
        <f t="shared" si="3"/>
        <v>0</v>
      </c>
      <c r="S18" t="str">
        <f t="shared" si="4"/>
        <v>Normal</v>
      </c>
      <c r="U18" t="str">
        <f t="shared" si="5"/>
        <v>2025-01</v>
      </c>
    </row>
    <row r="19" spans="1:21" x14ac:dyDescent="0.35">
      <c r="A19" t="s">
        <v>31</v>
      </c>
      <c r="B19" t="s">
        <v>531</v>
      </c>
      <c r="C19" t="s">
        <v>1020</v>
      </c>
      <c r="D19" t="s">
        <v>1506</v>
      </c>
      <c r="E19" s="9" t="s">
        <v>1507</v>
      </c>
      <c r="F19" s="9" t="s">
        <v>1513</v>
      </c>
      <c r="G19" s="7">
        <v>45685</v>
      </c>
      <c r="H19" s="5">
        <v>173</v>
      </c>
      <c r="I19" s="3">
        <v>0</v>
      </c>
      <c r="J19" t="s">
        <v>1516</v>
      </c>
      <c r="K19" t="s">
        <v>1523</v>
      </c>
      <c r="L19" t="s">
        <v>1525</v>
      </c>
      <c r="M19">
        <v>30</v>
      </c>
      <c r="N19" t="s">
        <v>1527</v>
      </c>
      <c r="O19">
        <f t="shared" si="0"/>
        <v>2025</v>
      </c>
      <c r="P19">
        <f t="shared" si="1"/>
        <v>1</v>
      </c>
      <c r="Q19" s="3">
        <f t="shared" si="2"/>
        <v>5.2883229813664592</v>
      </c>
      <c r="R19">
        <f t="shared" si="3"/>
        <v>0</v>
      </c>
      <c r="S19" t="str">
        <f t="shared" si="4"/>
        <v>Suspicious</v>
      </c>
      <c r="U19" t="str">
        <f t="shared" si="5"/>
        <v>2025-01</v>
      </c>
    </row>
    <row r="20" spans="1:21" x14ac:dyDescent="0.35">
      <c r="A20" t="s">
        <v>32</v>
      </c>
      <c r="B20" t="s">
        <v>532</v>
      </c>
      <c r="C20" t="s">
        <v>1021</v>
      </c>
      <c r="D20" t="s">
        <v>1504</v>
      </c>
      <c r="E20" s="9" t="s">
        <v>1508</v>
      </c>
      <c r="F20" s="9" t="s">
        <v>1512</v>
      </c>
      <c r="G20" s="7">
        <v>45769</v>
      </c>
      <c r="H20" s="5">
        <v>49</v>
      </c>
      <c r="I20" s="3">
        <v>0</v>
      </c>
      <c r="J20" t="s">
        <v>1516</v>
      </c>
      <c r="K20" t="s">
        <v>1523</v>
      </c>
      <c r="L20" t="s">
        <v>1525</v>
      </c>
      <c r="M20">
        <v>47</v>
      </c>
      <c r="N20" t="s">
        <v>1528</v>
      </c>
      <c r="O20">
        <f t="shared" si="0"/>
        <v>2025</v>
      </c>
      <c r="P20">
        <f t="shared" si="1"/>
        <v>4</v>
      </c>
      <c r="Q20" s="3">
        <f t="shared" si="2"/>
        <v>5.2992946058091279</v>
      </c>
      <c r="R20">
        <f t="shared" si="3"/>
        <v>0</v>
      </c>
      <c r="S20" t="str">
        <f t="shared" si="4"/>
        <v>Normal</v>
      </c>
      <c r="U20" t="str">
        <f t="shared" si="5"/>
        <v>2025-04</v>
      </c>
    </row>
    <row r="21" spans="1:21" x14ac:dyDescent="0.35">
      <c r="A21" t="s">
        <v>33</v>
      </c>
      <c r="B21" t="s">
        <v>533</v>
      </c>
      <c r="C21" t="s">
        <v>1022</v>
      </c>
      <c r="D21" t="s">
        <v>1503</v>
      </c>
      <c r="E21" s="9" t="s">
        <v>1508</v>
      </c>
      <c r="F21" s="9" t="s">
        <v>1511</v>
      </c>
      <c r="G21" s="7">
        <v>45702</v>
      </c>
      <c r="H21" s="5">
        <v>94</v>
      </c>
      <c r="I21" s="3">
        <v>0</v>
      </c>
      <c r="J21" t="s">
        <v>1516</v>
      </c>
      <c r="K21" t="s">
        <v>1522</v>
      </c>
      <c r="L21" t="s">
        <v>1525</v>
      </c>
      <c r="M21">
        <v>48</v>
      </c>
      <c r="N21" t="s">
        <v>1528</v>
      </c>
      <c r="O21">
        <f t="shared" si="0"/>
        <v>2025</v>
      </c>
      <c r="P21">
        <f t="shared" si="1"/>
        <v>2</v>
      </c>
      <c r="Q21" s="3">
        <f t="shared" si="2"/>
        <v>5.3103118503118498</v>
      </c>
      <c r="R21">
        <f t="shared" si="3"/>
        <v>0</v>
      </c>
      <c r="S21" t="str">
        <f t="shared" si="4"/>
        <v>Normal</v>
      </c>
      <c r="U21" t="str">
        <f t="shared" si="5"/>
        <v>2025-02</v>
      </c>
    </row>
    <row r="22" spans="1:21" x14ac:dyDescent="0.35">
      <c r="A22" t="s">
        <v>34</v>
      </c>
      <c r="B22" t="s">
        <v>534</v>
      </c>
      <c r="C22" t="s">
        <v>1023</v>
      </c>
      <c r="D22" t="s">
        <v>1502</v>
      </c>
      <c r="E22" s="9" t="s">
        <v>1509</v>
      </c>
      <c r="F22" s="9" t="s">
        <v>1513</v>
      </c>
      <c r="G22" s="7">
        <v>45808</v>
      </c>
      <c r="H22" s="5">
        <v>168</v>
      </c>
      <c r="I22" s="3">
        <v>0</v>
      </c>
      <c r="J22" t="s">
        <v>1516</v>
      </c>
      <c r="K22" t="s">
        <v>1521</v>
      </c>
      <c r="L22" t="s">
        <v>1525</v>
      </c>
      <c r="M22">
        <v>33</v>
      </c>
      <c r="N22" t="s">
        <v>1527</v>
      </c>
      <c r="O22">
        <f t="shared" si="0"/>
        <v>2025</v>
      </c>
      <c r="P22">
        <f t="shared" si="1"/>
        <v>5</v>
      </c>
      <c r="Q22" s="3">
        <f t="shared" si="2"/>
        <v>5.3213749999999997</v>
      </c>
      <c r="R22">
        <f t="shared" si="3"/>
        <v>1</v>
      </c>
      <c r="S22" t="str">
        <f t="shared" si="4"/>
        <v>Normal</v>
      </c>
      <c r="U22" t="str">
        <f t="shared" si="5"/>
        <v>2025-05</v>
      </c>
    </row>
    <row r="23" spans="1:21" x14ac:dyDescent="0.35">
      <c r="A23" t="s">
        <v>35</v>
      </c>
      <c r="B23" t="s">
        <v>535</v>
      </c>
      <c r="C23" t="s">
        <v>1024</v>
      </c>
      <c r="D23" t="s">
        <v>1505</v>
      </c>
      <c r="E23" s="9" t="s">
        <v>1507</v>
      </c>
      <c r="F23" s="9" t="s">
        <v>1512</v>
      </c>
      <c r="G23" s="7">
        <v>45790</v>
      </c>
      <c r="H23" s="5">
        <v>86</v>
      </c>
      <c r="I23" s="3">
        <v>0</v>
      </c>
      <c r="J23" t="s">
        <v>1516</v>
      </c>
      <c r="K23" t="s">
        <v>1521</v>
      </c>
      <c r="L23" t="s">
        <v>1525</v>
      </c>
      <c r="M23">
        <v>34</v>
      </c>
      <c r="N23" t="s">
        <v>1528</v>
      </c>
      <c r="O23">
        <f t="shared" si="0"/>
        <v>2025</v>
      </c>
      <c r="P23">
        <f t="shared" si="1"/>
        <v>5</v>
      </c>
      <c r="Q23" s="3">
        <f t="shared" si="2"/>
        <v>5.3324843423799582</v>
      </c>
      <c r="R23">
        <f t="shared" si="3"/>
        <v>1</v>
      </c>
      <c r="S23" t="str">
        <f t="shared" si="4"/>
        <v>Normal</v>
      </c>
      <c r="U23" t="str">
        <f t="shared" si="5"/>
        <v>2025-05</v>
      </c>
    </row>
    <row r="24" spans="1:21" x14ac:dyDescent="0.35">
      <c r="A24" t="s">
        <v>36</v>
      </c>
      <c r="B24" t="s">
        <v>536</v>
      </c>
      <c r="C24" t="s">
        <v>1025</v>
      </c>
      <c r="D24" t="s">
        <v>1503</v>
      </c>
      <c r="E24" s="9" t="s">
        <v>1507</v>
      </c>
      <c r="F24" s="9" t="s">
        <v>1512</v>
      </c>
      <c r="G24" s="7">
        <v>45738</v>
      </c>
      <c r="H24" s="5">
        <v>58</v>
      </c>
      <c r="I24" s="3">
        <v>0</v>
      </c>
      <c r="J24" t="s">
        <v>1516</v>
      </c>
      <c r="K24" t="s">
        <v>1521</v>
      </c>
      <c r="L24" t="s">
        <v>1525</v>
      </c>
      <c r="M24">
        <v>37</v>
      </c>
      <c r="N24" t="s">
        <v>1528</v>
      </c>
      <c r="O24">
        <f t="shared" si="0"/>
        <v>2025</v>
      </c>
      <c r="P24">
        <f t="shared" si="1"/>
        <v>3</v>
      </c>
      <c r="Q24" s="3">
        <f t="shared" si="2"/>
        <v>5.3436401673640166</v>
      </c>
      <c r="R24">
        <f t="shared" si="3"/>
        <v>1</v>
      </c>
      <c r="S24" t="str">
        <f t="shared" si="4"/>
        <v>Normal</v>
      </c>
      <c r="U24" t="str">
        <f t="shared" si="5"/>
        <v>2025-03</v>
      </c>
    </row>
    <row r="25" spans="1:21" x14ac:dyDescent="0.35">
      <c r="A25" t="s">
        <v>37</v>
      </c>
      <c r="B25" t="s">
        <v>537</v>
      </c>
      <c r="C25" t="s">
        <v>1026</v>
      </c>
      <c r="D25" t="s">
        <v>1504</v>
      </c>
      <c r="E25" s="9" t="s">
        <v>1509</v>
      </c>
      <c r="F25" s="9" t="s">
        <v>1515</v>
      </c>
      <c r="G25" s="7">
        <v>45740</v>
      </c>
      <c r="H25" s="5">
        <v>121</v>
      </c>
      <c r="I25" s="3">
        <v>7.28</v>
      </c>
      <c r="J25" t="s">
        <v>1517</v>
      </c>
      <c r="K25" t="s">
        <v>1521</v>
      </c>
      <c r="L25" t="s">
        <v>1526</v>
      </c>
      <c r="M25">
        <v>34</v>
      </c>
      <c r="N25" t="s">
        <v>1528</v>
      </c>
      <c r="O25">
        <f t="shared" si="0"/>
        <v>2025</v>
      </c>
      <c r="P25">
        <f t="shared" si="1"/>
        <v>3</v>
      </c>
      <c r="Q25" s="3">
        <f t="shared" si="2"/>
        <v>5.3548427672955974</v>
      </c>
      <c r="R25">
        <f t="shared" si="3"/>
        <v>1</v>
      </c>
      <c r="S25" t="str">
        <f t="shared" si="4"/>
        <v>Normal</v>
      </c>
      <c r="U25" t="str">
        <f t="shared" si="5"/>
        <v>2025-03</v>
      </c>
    </row>
    <row r="26" spans="1:21" x14ac:dyDescent="0.35">
      <c r="A26" t="s">
        <v>38</v>
      </c>
      <c r="B26" t="s">
        <v>538</v>
      </c>
      <c r="C26" t="s">
        <v>1027</v>
      </c>
      <c r="D26" t="s">
        <v>1503</v>
      </c>
      <c r="E26" s="9" t="s">
        <v>1509</v>
      </c>
      <c r="F26" s="9" t="s">
        <v>1514</v>
      </c>
      <c r="G26" s="7">
        <v>45781</v>
      </c>
      <c r="H26" s="5">
        <v>51</v>
      </c>
      <c r="I26" s="3">
        <v>0</v>
      </c>
      <c r="J26" t="s">
        <v>1516</v>
      </c>
      <c r="K26" t="s">
        <v>1522</v>
      </c>
      <c r="L26" t="s">
        <v>1525</v>
      </c>
      <c r="M26">
        <v>41</v>
      </c>
      <c r="N26" t="s">
        <v>1528</v>
      </c>
      <c r="O26">
        <f t="shared" si="0"/>
        <v>2025</v>
      </c>
      <c r="P26">
        <f t="shared" si="1"/>
        <v>5</v>
      </c>
      <c r="Q26" s="3">
        <f t="shared" si="2"/>
        <v>5.3507983193277298</v>
      </c>
      <c r="R26">
        <f t="shared" si="3"/>
        <v>0</v>
      </c>
      <c r="S26" t="str">
        <f t="shared" si="4"/>
        <v>Normal</v>
      </c>
      <c r="U26" t="str">
        <f t="shared" si="5"/>
        <v>2025-05</v>
      </c>
    </row>
    <row r="27" spans="1:21" x14ac:dyDescent="0.35">
      <c r="A27" t="s">
        <v>39</v>
      </c>
      <c r="B27" t="s">
        <v>539</v>
      </c>
      <c r="C27" t="s">
        <v>1028</v>
      </c>
      <c r="D27" t="s">
        <v>1506</v>
      </c>
      <c r="E27" s="9" t="s">
        <v>1509</v>
      </c>
      <c r="F27" s="9" t="s">
        <v>1513</v>
      </c>
      <c r="G27" s="7">
        <v>45741</v>
      </c>
      <c r="H27" s="5">
        <v>96</v>
      </c>
      <c r="I27" s="3">
        <v>0</v>
      </c>
      <c r="J27" t="s">
        <v>1516</v>
      </c>
      <c r="K27" t="s">
        <v>1521</v>
      </c>
      <c r="L27" t="s">
        <v>1526</v>
      </c>
      <c r="M27">
        <v>17</v>
      </c>
      <c r="N27" t="s">
        <v>1528</v>
      </c>
      <c r="O27">
        <f t="shared" si="0"/>
        <v>2025</v>
      </c>
      <c r="P27">
        <f t="shared" si="1"/>
        <v>3</v>
      </c>
      <c r="Q27" s="3">
        <f t="shared" si="2"/>
        <v>5.3620631578947355</v>
      </c>
      <c r="R27">
        <f t="shared" si="3"/>
        <v>1</v>
      </c>
      <c r="S27" t="str">
        <f t="shared" si="4"/>
        <v>Normal</v>
      </c>
      <c r="U27" t="str">
        <f t="shared" si="5"/>
        <v>2025-03</v>
      </c>
    </row>
    <row r="28" spans="1:21" x14ac:dyDescent="0.35">
      <c r="A28" t="s">
        <v>40</v>
      </c>
      <c r="B28" t="s">
        <v>540</v>
      </c>
      <c r="C28" t="s">
        <v>1029</v>
      </c>
      <c r="D28" t="s">
        <v>1506</v>
      </c>
      <c r="E28" s="9" t="s">
        <v>1508</v>
      </c>
      <c r="F28" s="9" t="s">
        <v>1513</v>
      </c>
      <c r="G28" s="7">
        <v>45779</v>
      </c>
      <c r="H28" s="5">
        <v>173</v>
      </c>
      <c r="I28" s="3">
        <v>0</v>
      </c>
      <c r="J28" t="s">
        <v>1516</v>
      </c>
      <c r="K28" t="s">
        <v>1521</v>
      </c>
      <c r="L28" t="s">
        <v>1525</v>
      </c>
      <c r="M28">
        <v>8</v>
      </c>
      <c r="N28" t="s">
        <v>1527</v>
      </c>
      <c r="O28">
        <f t="shared" si="0"/>
        <v>2025</v>
      </c>
      <c r="P28">
        <f t="shared" si="1"/>
        <v>5</v>
      </c>
      <c r="Q28" s="3">
        <f t="shared" si="2"/>
        <v>5.373375527426159</v>
      </c>
      <c r="R28">
        <f t="shared" si="3"/>
        <v>1</v>
      </c>
      <c r="S28" t="str">
        <f t="shared" si="4"/>
        <v>Suspicious</v>
      </c>
      <c r="U28" t="str">
        <f t="shared" si="5"/>
        <v>2025-05</v>
      </c>
    </row>
    <row r="29" spans="1:21" x14ac:dyDescent="0.35">
      <c r="A29" t="s">
        <v>41</v>
      </c>
      <c r="B29" t="s">
        <v>541</v>
      </c>
      <c r="C29" t="s">
        <v>1030</v>
      </c>
      <c r="D29" t="s">
        <v>1504</v>
      </c>
      <c r="E29" s="9" t="s">
        <v>1508</v>
      </c>
      <c r="F29" s="9" t="s">
        <v>1513</v>
      </c>
      <c r="G29" s="7">
        <v>45692</v>
      </c>
      <c r="H29" s="5">
        <v>105</v>
      </c>
      <c r="I29" s="3">
        <v>0</v>
      </c>
      <c r="J29" t="s">
        <v>1516</v>
      </c>
      <c r="K29" t="s">
        <v>1521</v>
      </c>
      <c r="L29" t="s">
        <v>1525</v>
      </c>
      <c r="M29">
        <v>11</v>
      </c>
      <c r="N29" t="s">
        <v>1528</v>
      </c>
      <c r="O29">
        <f t="shared" si="0"/>
        <v>2025</v>
      </c>
      <c r="P29">
        <f t="shared" si="1"/>
        <v>2</v>
      </c>
      <c r="Q29" s="3">
        <f t="shared" si="2"/>
        <v>5.3847357293868914</v>
      </c>
      <c r="R29">
        <f t="shared" si="3"/>
        <v>1</v>
      </c>
      <c r="S29" t="str">
        <f t="shared" si="4"/>
        <v>Normal</v>
      </c>
      <c r="U29" t="str">
        <f t="shared" si="5"/>
        <v>2025-02</v>
      </c>
    </row>
    <row r="30" spans="1:21" x14ac:dyDescent="0.35">
      <c r="A30" t="s">
        <v>42</v>
      </c>
      <c r="B30" t="s">
        <v>542</v>
      </c>
      <c r="C30" t="s">
        <v>1031</v>
      </c>
      <c r="D30" t="s">
        <v>1505</v>
      </c>
      <c r="E30" s="9" t="s">
        <v>1507</v>
      </c>
      <c r="F30" s="9" t="s">
        <v>1513</v>
      </c>
      <c r="G30" s="7">
        <v>45763</v>
      </c>
      <c r="H30" s="5">
        <v>16</v>
      </c>
      <c r="I30" s="3">
        <v>0</v>
      </c>
      <c r="J30" t="s">
        <v>1516</v>
      </c>
      <c r="K30" t="s">
        <v>1521</v>
      </c>
      <c r="L30" t="s">
        <v>1525</v>
      </c>
      <c r="M30">
        <v>26</v>
      </c>
      <c r="N30" t="s">
        <v>1528</v>
      </c>
      <c r="O30">
        <f t="shared" si="0"/>
        <v>2025</v>
      </c>
      <c r="P30">
        <f t="shared" si="1"/>
        <v>4</v>
      </c>
      <c r="Q30" s="3">
        <f t="shared" si="2"/>
        <v>5.3961440677966088</v>
      </c>
      <c r="R30">
        <f t="shared" si="3"/>
        <v>1</v>
      </c>
      <c r="S30" t="str">
        <f t="shared" si="4"/>
        <v>Normal</v>
      </c>
      <c r="U30" t="str">
        <f t="shared" si="5"/>
        <v>2025-04</v>
      </c>
    </row>
    <row r="31" spans="1:21" x14ac:dyDescent="0.35">
      <c r="A31" t="s">
        <v>43</v>
      </c>
      <c r="B31" t="s">
        <v>543</v>
      </c>
      <c r="C31" t="s">
        <v>1032</v>
      </c>
      <c r="D31" t="s">
        <v>1504</v>
      </c>
      <c r="E31" s="9" t="s">
        <v>1508</v>
      </c>
      <c r="F31" s="9" t="s">
        <v>1514</v>
      </c>
      <c r="G31" s="7">
        <v>45818</v>
      </c>
      <c r="H31" s="5">
        <v>135</v>
      </c>
      <c r="I31" s="3">
        <v>0</v>
      </c>
      <c r="J31" t="s">
        <v>1516</v>
      </c>
      <c r="K31" t="s">
        <v>1521</v>
      </c>
      <c r="L31" t="s">
        <v>1525</v>
      </c>
      <c r="M31">
        <v>12</v>
      </c>
      <c r="N31" t="s">
        <v>1528</v>
      </c>
      <c r="O31">
        <f t="shared" si="0"/>
        <v>2025</v>
      </c>
      <c r="P31">
        <f t="shared" si="1"/>
        <v>6</v>
      </c>
      <c r="Q31" s="3">
        <f t="shared" si="2"/>
        <v>5.407600849256899</v>
      </c>
      <c r="R31">
        <f t="shared" si="3"/>
        <v>1</v>
      </c>
      <c r="S31" t="str">
        <f t="shared" si="4"/>
        <v>Normal</v>
      </c>
      <c r="U31" t="str">
        <f t="shared" si="5"/>
        <v>2025-06</v>
      </c>
    </row>
    <row r="32" spans="1:21" x14ac:dyDescent="0.35">
      <c r="A32" t="s">
        <v>44</v>
      </c>
      <c r="B32" t="s">
        <v>544</v>
      </c>
      <c r="C32" t="s">
        <v>1033</v>
      </c>
      <c r="D32" t="s">
        <v>1506</v>
      </c>
      <c r="E32" s="9" t="s">
        <v>1508</v>
      </c>
      <c r="F32" s="9" t="s">
        <v>1513</v>
      </c>
      <c r="G32" s="7">
        <v>45694</v>
      </c>
      <c r="H32" s="5">
        <v>96</v>
      </c>
      <c r="I32" s="3">
        <v>0</v>
      </c>
      <c r="J32" t="s">
        <v>1516</v>
      </c>
      <c r="K32" t="s">
        <v>1521</v>
      </c>
      <c r="L32" t="s">
        <v>1525</v>
      </c>
      <c r="M32">
        <v>43</v>
      </c>
      <c r="N32" t="s">
        <v>1528</v>
      </c>
      <c r="O32">
        <f t="shared" si="0"/>
        <v>2025</v>
      </c>
      <c r="P32">
        <f t="shared" si="1"/>
        <v>2</v>
      </c>
      <c r="Q32" s="3">
        <f t="shared" si="2"/>
        <v>5.4191063829787227</v>
      </c>
      <c r="R32">
        <f t="shared" si="3"/>
        <v>1</v>
      </c>
      <c r="S32" t="str">
        <f t="shared" si="4"/>
        <v>Normal</v>
      </c>
      <c r="U32" t="str">
        <f t="shared" si="5"/>
        <v>2025-02</v>
      </c>
    </row>
    <row r="33" spans="1:21" x14ac:dyDescent="0.35">
      <c r="A33" t="s">
        <v>45</v>
      </c>
      <c r="B33" t="s">
        <v>545</v>
      </c>
      <c r="C33" t="s">
        <v>1034</v>
      </c>
      <c r="D33" t="s">
        <v>1504</v>
      </c>
      <c r="E33" s="9" t="s">
        <v>1509</v>
      </c>
      <c r="F33" s="9" t="s">
        <v>1513</v>
      </c>
      <c r="G33" s="7">
        <v>45708</v>
      </c>
      <c r="H33" s="5">
        <v>16</v>
      </c>
      <c r="I33" s="3">
        <v>0</v>
      </c>
      <c r="J33" t="s">
        <v>1516</v>
      </c>
      <c r="K33" t="s">
        <v>1521</v>
      </c>
      <c r="L33" t="s">
        <v>1525</v>
      </c>
      <c r="M33">
        <v>16</v>
      </c>
      <c r="N33" t="s">
        <v>1528</v>
      </c>
      <c r="O33">
        <f t="shared" si="0"/>
        <v>2025</v>
      </c>
      <c r="P33">
        <f t="shared" si="1"/>
        <v>2</v>
      </c>
      <c r="Q33" s="3">
        <f t="shared" si="2"/>
        <v>5.4306609808102335</v>
      </c>
      <c r="R33">
        <f t="shared" si="3"/>
        <v>1</v>
      </c>
      <c r="S33" t="str">
        <f t="shared" si="4"/>
        <v>Normal</v>
      </c>
      <c r="U33" t="str">
        <f t="shared" si="5"/>
        <v>2025-02</v>
      </c>
    </row>
    <row r="34" spans="1:21" x14ac:dyDescent="0.35">
      <c r="A34" t="s">
        <v>46</v>
      </c>
      <c r="B34" t="s">
        <v>546</v>
      </c>
      <c r="C34" t="s">
        <v>1035</v>
      </c>
      <c r="D34" t="s">
        <v>1505</v>
      </c>
      <c r="E34" s="9" t="s">
        <v>1509</v>
      </c>
      <c r="F34" s="9" t="s">
        <v>1513</v>
      </c>
      <c r="G34" s="7">
        <v>45696</v>
      </c>
      <c r="H34" s="5">
        <v>165</v>
      </c>
      <c r="I34" s="3">
        <v>0</v>
      </c>
      <c r="J34" t="s">
        <v>1516</v>
      </c>
      <c r="K34" t="s">
        <v>1521</v>
      </c>
      <c r="L34" t="s">
        <v>1525</v>
      </c>
      <c r="M34">
        <v>23</v>
      </c>
      <c r="N34" t="s">
        <v>1527</v>
      </c>
      <c r="O34">
        <f t="shared" si="0"/>
        <v>2025</v>
      </c>
      <c r="P34">
        <f t="shared" si="1"/>
        <v>2</v>
      </c>
      <c r="Q34" s="3">
        <f t="shared" si="2"/>
        <v>5.442264957264956</v>
      </c>
      <c r="R34">
        <f t="shared" si="3"/>
        <v>1</v>
      </c>
      <c r="S34" t="str">
        <f t="shared" si="4"/>
        <v>Normal</v>
      </c>
      <c r="U34" t="str">
        <f t="shared" si="5"/>
        <v>2025-02</v>
      </c>
    </row>
    <row r="35" spans="1:21" x14ac:dyDescent="0.35">
      <c r="A35" t="s">
        <v>47</v>
      </c>
      <c r="B35" t="s">
        <v>547</v>
      </c>
      <c r="C35" t="s">
        <v>1036</v>
      </c>
      <c r="D35" t="s">
        <v>1504</v>
      </c>
      <c r="E35" s="9" t="s">
        <v>1509</v>
      </c>
      <c r="F35" s="9" t="s">
        <v>1514</v>
      </c>
      <c r="G35" s="7">
        <v>45797</v>
      </c>
      <c r="H35" s="5">
        <v>25</v>
      </c>
      <c r="I35" s="3">
        <v>0</v>
      </c>
      <c r="J35" t="s">
        <v>1516</v>
      </c>
      <c r="K35" t="s">
        <v>1522</v>
      </c>
      <c r="L35" t="s">
        <v>1525</v>
      </c>
      <c r="M35">
        <v>26</v>
      </c>
      <c r="N35" t="s">
        <v>1528</v>
      </c>
      <c r="O35">
        <f t="shared" si="0"/>
        <v>2025</v>
      </c>
      <c r="P35">
        <f t="shared" si="1"/>
        <v>5</v>
      </c>
      <c r="Q35" s="3">
        <f t="shared" si="2"/>
        <v>5.4539186295503201</v>
      </c>
      <c r="R35">
        <f t="shared" si="3"/>
        <v>0</v>
      </c>
      <c r="S35" t="str">
        <f t="shared" si="4"/>
        <v>Normal</v>
      </c>
      <c r="U35" t="str">
        <f t="shared" si="5"/>
        <v>2025-05</v>
      </c>
    </row>
    <row r="36" spans="1:21" x14ac:dyDescent="0.35">
      <c r="A36" t="s">
        <v>48</v>
      </c>
      <c r="B36" t="s">
        <v>548</v>
      </c>
      <c r="C36" t="s">
        <v>1037</v>
      </c>
      <c r="D36" t="s">
        <v>1504</v>
      </c>
      <c r="E36" s="9" t="s">
        <v>1509</v>
      </c>
      <c r="F36" s="9" t="s">
        <v>1514</v>
      </c>
      <c r="G36" s="7">
        <v>45729</v>
      </c>
      <c r="H36" s="5">
        <v>140</v>
      </c>
      <c r="I36" s="3">
        <v>0</v>
      </c>
      <c r="J36" t="s">
        <v>1516</v>
      </c>
      <c r="K36" t="s">
        <v>1521</v>
      </c>
      <c r="L36" t="s">
        <v>1525</v>
      </c>
      <c r="M36">
        <v>26</v>
      </c>
      <c r="N36" t="s">
        <v>1528</v>
      </c>
      <c r="O36">
        <f t="shared" si="0"/>
        <v>2025</v>
      </c>
      <c r="P36">
        <f t="shared" si="1"/>
        <v>3</v>
      </c>
      <c r="Q36" s="3">
        <f t="shared" si="2"/>
        <v>5.4656223175965657</v>
      </c>
      <c r="R36">
        <f t="shared" si="3"/>
        <v>1</v>
      </c>
      <c r="S36" t="str">
        <f t="shared" si="4"/>
        <v>Normal</v>
      </c>
      <c r="U36" t="str">
        <f t="shared" si="5"/>
        <v>2025-03</v>
      </c>
    </row>
    <row r="37" spans="1:21" x14ac:dyDescent="0.35">
      <c r="A37" t="s">
        <v>49</v>
      </c>
      <c r="B37" t="s">
        <v>549</v>
      </c>
      <c r="C37" t="s">
        <v>1038</v>
      </c>
      <c r="D37" t="s">
        <v>1506</v>
      </c>
      <c r="E37" s="9" t="s">
        <v>1508</v>
      </c>
      <c r="F37" s="9" t="s">
        <v>1511</v>
      </c>
      <c r="G37" s="7">
        <v>45750</v>
      </c>
      <c r="H37" s="5">
        <v>86</v>
      </c>
      <c r="I37" s="3">
        <v>0</v>
      </c>
      <c r="J37" t="s">
        <v>1516</v>
      </c>
      <c r="K37" t="s">
        <v>1521</v>
      </c>
      <c r="L37" t="s">
        <v>1525</v>
      </c>
      <c r="M37">
        <v>47</v>
      </c>
      <c r="N37" t="s">
        <v>1528</v>
      </c>
      <c r="O37">
        <f t="shared" si="0"/>
        <v>2025</v>
      </c>
      <c r="P37">
        <f t="shared" si="1"/>
        <v>4</v>
      </c>
      <c r="Q37" s="3">
        <f t="shared" si="2"/>
        <v>5.4773763440860206</v>
      </c>
      <c r="R37">
        <f t="shared" si="3"/>
        <v>1</v>
      </c>
      <c r="S37" t="str">
        <f t="shared" si="4"/>
        <v>Normal</v>
      </c>
      <c r="U37" t="str">
        <f t="shared" si="5"/>
        <v>2025-04</v>
      </c>
    </row>
    <row r="38" spans="1:21" x14ac:dyDescent="0.35">
      <c r="A38" t="s">
        <v>50</v>
      </c>
      <c r="B38" t="s">
        <v>550</v>
      </c>
      <c r="C38" t="s">
        <v>1039</v>
      </c>
      <c r="D38" t="s">
        <v>1505</v>
      </c>
      <c r="E38" s="9" t="s">
        <v>1509</v>
      </c>
      <c r="F38" s="9" t="s">
        <v>1512</v>
      </c>
      <c r="G38" s="7">
        <v>45721</v>
      </c>
      <c r="H38" s="5">
        <v>149</v>
      </c>
      <c r="I38" s="3">
        <v>0</v>
      </c>
      <c r="J38" t="s">
        <v>1516</v>
      </c>
      <c r="K38" t="s">
        <v>1521</v>
      </c>
      <c r="L38" t="s">
        <v>1525</v>
      </c>
      <c r="M38">
        <v>48</v>
      </c>
      <c r="N38" t="s">
        <v>1528</v>
      </c>
      <c r="O38">
        <f t="shared" si="0"/>
        <v>2025</v>
      </c>
      <c r="P38">
        <f t="shared" si="1"/>
        <v>3</v>
      </c>
      <c r="Q38" s="3">
        <f t="shared" si="2"/>
        <v>5.4891810344827574</v>
      </c>
      <c r="R38">
        <f t="shared" si="3"/>
        <v>1</v>
      </c>
      <c r="S38" t="str">
        <f t="shared" si="4"/>
        <v>Normal</v>
      </c>
      <c r="U38" t="str">
        <f t="shared" si="5"/>
        <v>2025-03</v>
      </c>
    </row>
    <row r="39" spans="1:21" x14ac:dyDescent="0.35">
      <c r="A39" t="s">
        <v>51</v>
      </c>
      <c r="B39" t="s">
        <v>551</v>
      </c>
      <c r="C39" t="s">
        <v>1040</v>
      </c>
      <c r="D39" t="s">
        <v>1502</v>
      </c>
      <c r="E39" s="9" t="s">
        <v>1507</v>
      </c>
      <c r="F39" s="9" t="s">
        <v>1511</v>
      </c>
      <c r="G39" s="7">
        <v>45790</v>
      </c>
      <c r="H39" s="5">
        <v>121</v>
      </c>
      <c r="I39" s="3">
        <v>0</v>
      </c>
      <c r="J39" t="s">
        <v>1516</v>
      </c>
      <c r="K39" t="s">
        <v>1521</v>
      </c>
      <c r="L39" t="s">
        <v>1525</v>
      </c>
      <c r="M39">
        <v>14</v>
      </c>
      <c r="N39" t="s">
        <v>1528</v>
      </c>
      <c r="O39">
        <f t="shared" si="0"/>
        <v>2025</v>
      </c>
      <c r="P39">
        <f t="shared" si="1"/>
        <v>5</v>
      </c>
      <c r="Q39" s="3">
        <f t="shared" si="2"/>
        <v>5.5010367170626342</v>
      </c>
      <c r="R39">
        <f t="shared" si="3"/>
        <v>1</v>
      </c>
      <c r="S39" t="str">
        <f t="shared" si="4"/>
        <v>Normal</v>
      </c>
      <c r="U39" t="str">
        <f t="shared" si="5"/>
        <v>2025-05</v>
      </c>
    </row>
    <row r="40" spans="1:21" x14ac:dyDescent="0.35">
      <c r="A40" t="s">
        <v>52</v>
      </c>
      <c r="B40" t="s">
        <v>552</v>
      </c>
      <c r="C40" t="s">
        <v>1041</v>
      </c>
      <c r="D40" t="s">
        <v>1504</v>
      </c>
      <c r="E40" s="9" t="s">
        <v>1508</v>
      </c>
      <c r="F40" s="9" t="s">
        <v>1511</v>
      </c>
      <c r="G40" s="7">
        <v>45702</v>
      </c>
      <c r="H40" s="5">
        <v>154</v>
      </c>
      <c r="I40" s="3">
        <v>0</v>
      </c>
      <c r="J40" t="s">
        <v>1516</v>
      </c>
      <c r="K40" t="s">
        <v>1521</v>
      </c>
      <c r="L40" t="s">
        <v>1525</v>
      </c>
      <c r="M40">
        <v>44</v>
      </c>
      <c r="N40" t="s">
        <v>1527</v>
      </c>
      <c r="O40">
        <f t="shared" si="0"/>
        <v>2025</v>
      </c>
      <c r="P40">
        <f t="shared" si="1"/>
        <v>2</v>
      </c>
      <c r="Q40" s="3">
        <f t="shared" si="2"/>
        <v>5.5129437229437217</v>
      </c>
      <c r="R40">
        <f t="shared" si="3"/>
        <v>1</v>
      </c>
      <c r="S40" t="str">
        <f t="shared" si="4"/>
        <v>Normal</v>
      </c>
      <c r="U40" t="str">
        <f t="shared" si="5"/>
        <v>2025-02</v>
      </c>
    </row>
    <row r="41" spans="1:21" x14ac:dyDescent="0.35">
      <c r="A41" t="s">
        <v>53</v>
      </c>
      <c r="B41" t="s">
        <v>553</v>
      </c>
      <c r="C41" t="s">
        <v>1042</v>
      </c>
      <c r="D41" t="s">
        <v>1504</v>
      </c>
      <c r="E41" s="9" t="s">
        <v>1509</v>
      </c>
      <c r="F41" s="9" t="s">
        <v>1513</v>
      </c>
      <c r="G41" s="7">
        <v>45673</v>
      </c>
      <c r="H41" s="5">
        <v>82</v>
      </c>
      <c r="I41" s="3">
        <v>24.1</v>
      </c>
      <c r="J41" t="s">
        <v>1520</v>
      </c>
      <c r="K41" t="s">
        <v>1521</v>
      </c>
      <c r="L41" t="s">
        <v>1526</v>
      </c>
      <c r="M41">
        <v>34</v>
      </c>
      <c r="N41" t="s">
        <v>1528</v>
      </c>
      <c r="O41">
        <f t="shared" si="0"/>
        <v>2025</v>
      </c>
      <c r="P41">
        <f t="shared" si="1"/>
        <v>1</v>
      </c>
      <c r="Q41" s="3">
        <f t="shared" si="2"/>
        <v>5.5249023861171356</v>
      </c>
      <c r="R41">
        <f t="shared" si="3"/>
        <v>1</v>
      </c>
      <c r="S41" t="str">
        <f t="shared" si="4"/>
        <v>Normal</v>
      </c>
      <c r="U41" t="str">
        <f t="shared" si="5"/>
        <v>2025-01</v>
      </c>
    </row>
    <row r="42" spans="1:21" x14ac:dyDescent="0.35">
      <c r="A42" t="s">
        <v>54</v>
      </c>
      <c r="B42" t="s">
        <v>554</v>
      </c>
      <c r="C42" t="s">
        <v>1043</v>
      </c>
      <c r="D42" t="s">
        <v>1506</v>
      </c>
      <c r="E42" s="9" t="s">
        <v>1509</v>
      </c>
      <c r="F42" s="9" t="s">
        <v>1514</v>
      </c>
      <c r="G42" s="7">
        <v>45642</v>
      </c>
      <c r="H42" s="5">
        <v>49</v>
      </c>
      <c r="I42" s="3">
        <v>0</v>
      </c>
      <c r="J42" t="s">
        <v>1516</v>
      </c>
      <c r="K42" t="s">
        <v>1521</v>
      </c>
      <c r="L42" t="s">
        <v>1525</v>
      </c>
      <c r="M42">
        <v>9</v>
      </c>
      <c r="N42" t="s">
        <v>1528</v>
      </c>
      <c r="O42">
        <f t="shared" si="0"/>
        <v>2024</v>
      </c>
      <c r="P42">
        <f t="shared" si="1"/>
        <v>12</v>
      </c>
      <c r="Q42" s="3">
        <f t="shared" si="2"/>
        <v>5.4845217391304351</v>
      </c>
      <c r="R42">
        <f t="shared" si="3"/>
        <v>1</v>
      </c>
      <c r="S42" t="str">
        <f t="shared" si="4"/>
        <v>Normal</v>
      </c>
      <c r="U42" t="str">
        <f t="shared" si="5"/>
        <v>2024-12</v>
      </c>
    </row>
    <row r="43" spans="1:21" x14ac:dyDescent="0.35">
      <c r="A43" t="s">
        <v>55</v>
      </c>
      <c r="B43" t="s">
        <v>555</v>
      </c>
      <c r="C43" t="s">
        <v>1044</v>
      </c>
      <c r="D43" t="s">
        <v>1505</v>
      </c>
      <c r="E43" s="9" t="s">
        <v>1507</v>
      </c>
      <c r="F43" s="9" t="s">
        <v>1514</v>
      </c>
      <c r="G43" s="7">
        <v>45783</v>
      </c>
      <c r="H43" s="5">
        <v>35</v>
      </c>
      <c r="I43" s="3">
        <v>0</v>
      </c>
      <c r="J43" t="s">
        <v>1516</v>
      </c>
      <c r="K43" t="s">
        <v>1521</v>
      </c>
      <c r="L43" t="s">
        <v>1526</v>
      </c>
      <c r="M43">
        <v>33</v>
      </c>
      <c r="N43" t="s">
        <v>1528</v>
      </c>
      <c r="O43">
        <f t="shared" si="0"/>
        <v>2025</v>
      </c>
      <c r="P43">
        <f t="shared" si="1"/>
        <v>5</v>
      </c>
      <c r="Q43" s="3">
        <f t="shared" si="2"/>
        <v>5.4964705882352947</v>
      </c>
      <c r="R43">
        <f t="shared" si="3"/>
        <v>1</v>
      </c>
      <c r="S43" t="str">
        <f t="shared" si="4"/>
        <v>Normal</v>
      </c>
      <c r="U43" t="str">
        <f t="shared" si="5"/>
        <v>2025-05</v>
      </c>
    </row>
    <row r="44" spans="1:21" x14ac:dyDescent="0.35">
      <c r="A44" t="s">
        <v>56</v>
      </c>
      <c r="B44" t="s">
        <v>556</v>
      </c>
      <c r="C44" t="s">
        <v>1045</v>
      </c>
      <c r="D44" t="s">
        <v>1502</v>
      </c>
      <c r="E44" s="9" t="s">
        <v>1509</v>
      </c>
      <c r="F44" s="9" t="s">
        <v>1515</v>
      </c>
      <c r="G44" s="7">
        <v>45676</v>
      </c>
      <c r="H44" s="5">
        <v>112</v>
      </c>
      <c r="I44" s="3">
        <v>30.74</v>
      </c>
      <c r="J44" t="s">
        <v>1518</v>
      </c>
      <c r="K44" t="s">
        <v>1521</v>
      </c>
      <c r="L44" t="s">
        <v>1526</v>
      </c>
      <c r="M44">
        <v>10</v>
      </c>
      <c r="N44" t="s">
        <v>1528</v>
      </c>
      <c r="O44">
        <f t="shared" si="0"/>
        <v>2025</v>
      </c>
      <c r="P44">
        <f t="shared" si="1"/>
        <v>1</v>
      </c>
      <c r="Q44" s="3">
        <f t="shared" si="2"/>
        <v>5.5084716157205245</v>
      </c>
      <c r="R44">
        <f t="shared" si="3"/>
        <v>1</v>
      </c>
      <c r="S44" t="str">
        <f t="shared" si="4"/>
        <v>Normal</v>
      </c>
      <c r="U44" t="str">
        <f t="shared" si="5"/>
        <v>2025-01</v>
      </c>
    </row>
    <row r="45" spans="1:21" x14ac:dyDescent="0.35">
      <c r="A45" t="s">
        <v>57</v>
      </c>
      <c r="B45" t="s">
        <v>557</v>
      </c>
      <c r="C45" t="s">
        <v>1046</v>
      </c>
      <c r="D45" t="s">
        <v>1502</v>
      </c>
      <c r="E45" s="9" t="s">
        <v>1507</v>
      </c>
      <c r="F45" s="9" t="s">
        <v>1515</v>
      </c>
      <c r="G45" s="7">
        <v>45692</v>
      </c>
      <c r="H45" s="5">
        <v>67</v>
      </c>
      <c r="I45" s="3">
        <v>0</v>
      </c>
      <c r="J45" t="s">
        <v>1516</v>
      </c>
      <c r="K45" t="s">
        <v>1523</v>
      </c>
      <c r="L45" t="s">
        <v>1525</v>
      </c>
      <c r="M45">
        <v>16</v>
      </c>
      <c r="N45" t="s">
        <v>1528</v>
      </c>
      <c r="O45">
        <f t="shared" si="0"/>
        <v>2025</v>
      </c>
      <c r="P45">
        <f t="shared" si="1"/>
        <v>2</v>
      </c>
      <c r="Q45" s="3">
        <f t="shared" si="2"/>
        <v>5.4532603938730855</v>
      </c>
      <c r="R45">
        <f t="shared" si="3"/>
        <v>0</v>
      </c>
      <c r="S45" t="str">
        <f t="shared" si="4"/>
        <v>Normal</v>
      </c>
      <c r="U45" t="str">
        <f t="shared" si="5"/>
        <v>2025-02</v>
      </c>
    </row>
    <row r="46" spans="1:21" x14ac:dyDescent="0.35">
      <c r="A46" t="s">
        <v>58</v>
      </c>
      <c r="B46" t="s">
        <v>558</v>
      </c>
      <c r="C46" t="s">
        <v>1047</v>
      </c>
      <c r="D46" t="s">
        <v>1502</v>
      </c>
      <c r="E46" s="9" t="s">
        <v>1509</v>
      </c>
      <c r="F46" s="9" t="s">
        <v>1515</v>
      </c>
      <c r="G46" s="7">
        <v>45676</v>
      </c>
      <c r="H46" s="5">
        <v>15</v>
      </c>
      <c r="I46" s="3">
        <v>0</v>
      </c>
      <c r="J46" t="s">
        <v>1516</v>
      </c>
      <c r="K46" t="s">
        <v>1522</v>
      </c>
      <c r="L46" t="s">
        <v>1525</v>
      </c>
      <c r="M46">
        <v>38</v>
      </c>
      <c r="N46" t="s">
        <v>1528</v>
      </c>
      <c r="O46">
        <f t="shared" si="0"/>
        <v>2025</v>
      </c>
      <c r="P46">
        <f t="shared" si="1"/>
        <v>1</v>
      </c>
      <c r="Q46" s="3">
        <f t="shared" si="2"/>
        <v>5.4652192982456134</v>
      </c>
      <c r="R46">
        <f t="shared" si="3"/>
        <v>0</v>
      </c>
      <c r="S46" t="str">
        <f t="shared" si="4"/>
        <v>Normal</v>
      </c>
      <c r="U46" t="str">
        <f t="shared" si="5"/>
        <v>2025-01</v>
      </c>
    </row>
    <row r="47" spans="1:21" x14ac:dyDescent="0.35">
      <c r="A47" t="s">
        <v>59</v>
      </c>
      <c r="B47" t="s">
        <v>559</v>
      </c>
      <c r="C47" t="s">
        <v>1048</v>
      </c>
      <c r="D47" t="s">
        <v>1504</v>
      </c>
      <c r="E47" s="9" t="s">
        <v>1507</v>
      </c>
      <c r="F47" s="9" t="s">
        <v>1514</v>
      </c>
      <c r="G47" s="7">
        <v>45717</v>
      </c>
      <c r="H47" s="5">
        <v>8</v>
      </c>
      <c r="I47" s="3">
        <v>0</v>
      </c>
      <c r="J47" t="s">
        <v>1516</v>
      </c>
      <c r="K47" t="s">
        <v>1521</v>
      </c>
      <c r="L47" t="s">
        <v>1525</v>
      </c>
      <c r="M47">
        <v>33</v>
      </c>
      <c r="N47" t="s">
        <v>1528</v>
      </c>
      <c r="O47">
        <f t="shared" si="0"/>
        <v>2025</v>
      </c>
      <c r="P47">
        <f t="shared" si="1"/>
        <v>3</v>
      </c>
      <c r="Q47" s="3">
        <f t="shared" si="2"/>
        <v>5.4772307692307693</v>
      </c>
      <c r="R47">
        <f t="shared" si="3"/>
        <v>1</v>
      </c>
      <c r="S47" t="str">
        <f t="shared" si="4"/>
        <v>Normal</v>
      </c>
      <c r="U47" t="str">
        <f t="shared" si="5"/>
        <v>2025-03</v>
      </c>
    </row>
    <row r="48" spans="1:21" x14ac:dyDescent="0.35">
      <c r="A48" t="s">
        <v>60</v>
      </c>
      <c r="B48" t="s">
        <v>560</v>
      </c>
      <c r="C48" t="s">
        <v>1049</v>
      </c>
      <c r="D48" t="s">
        <v>1505</v>
      </c>
      <c r="E48" s="9" t="s">
        <v>1508</v>
      </c>
      <c r="F48" s="9" t="s">
        <v>1515</v>
      </c>
      <c r="G48" s="7">
        <v>45643</v>
      </c>
      <c r="H48" s="5">
        <v>27</v>
      </c>
      <c r="I48" s="3">
        <v>0</v>
      </c>
      <c r="J48" t="s">
        <v>1516</v>
      </c>
      <c r="K48" t="s">
        <v>1521</v>
      </c>
      <c r="L48" t="s">
        <v>1525</v>
      </c>
      <c r="M48">
        <v>19</v>
      </c>
      <c r="N48" t="s">
        <v>1528</v>
      </c>
      <c r="O48">
        <f t="shared" si="0"/>
        <v>2024</v>
      </c>
      <c r="P48">
        <f t="shared" si="1"/>
        <v>12</v>
      </c>
      <c r="Q48" s="3">
        <f t="shared" si="2"/>
        <v>5.4892951541850215</v>
      </c>
      <c r="R48">
        <f t="shared" si="3"/>
        <v>1</v>
      </c>
      <c r="S48" t="str">
        <f t="shared" si="4"/>
        <v>Normal</v>
      </c>
      <c r="U48" t="str">
        <f t="shared" si="5"/>
        <v>2024-12</v>
      </c>
    </row>
    <row r="49" spans="1:21" x14ac:dyDescent="0.35">
      <c r="A49" t="s">
        <v>61</v>
      </c>
      <c r="B49" t="s">
        <v>561</v>
      </c>
      <c r="C49" t="s">
        <v>1050</v>
      </c>
      <c r="D49" t="s">
        <v>1502</v>
      </c>
      <c r="E49" s="9" t="s">
        <v>1507</v>
      </c>
      <c r="F49" s="9" t="s">
        <v>1512</v>
      </c>
      <c r="G49" s="7">
        <v>45692</v>
      </c>
      <c r="H49" s="5">
        <v>115</v>
      </c>
      <c r="I49" s="3">
        <v>22.35</v>
      </c>
      <c r="J49" t="s">
        <v>1518</v>
      </c>
      <c r="K49" t="s">
        <v>1521</v>
      </c>
      <c r="L49" t="s">
        <v>1526</v>
      </c>
      <c r="M49">
        <v>43</v>
      </c>
      <c r="N49" t="s">
        <v>1528</v>
      </c>
      <c r="O49">
        <f t="shared" si="0"/>
        <v>2025</v>
      </c>
      <c r="P49">
        <f t="shared" si="1"/>
        <v>2</v>
      </c>
      <c r="Q49" s="3">
        <f t="shared" si="2"/>
        <v>5.5014128035320082</v>
      </c>
      <c r="R49">
        <f t="shared" si="3"/>
        <v>1</v>
      </c>
      <c r="S49" t="str">
        <f t="shared" si="4"/>
        <v>Normal</v>
      </c>
      <c r="U49" t="str">
        <f t="shared" si="5"/>
        <v>2025-02</v>
      </c>
    </row>
    <row r="50" spans="1:21" x14ac:dyDescent="0.35">
      <c r="A50" t="s">
        <v>62</v>
      </c>
      <c r="B50" t="s">
        <v>562</v>
      </c>
      <c r="C50" t="s">
        <v>1051</v>
      </c>
      <c r="D50" t="s">
        <v>1503</v>
      </c>
      <c r="E50" s="9" t="s">
        <v>1508</v>
      </c>
      <c r="F50" s="9" t="s">
        <v>1511</v>
      </c>
      <c r="G50" s="7">
        <v>45715</v>
      </c>
      <c r="H50" s="5">
        <v>27</v>
      </c>
      <c r="I50" s="3">
        <v>0</v>
      </c>
      <c r="J50" t="s">
        <v>1516</v>
      </c>
      <c r="K50" t="s">
        <v>1521</v>
      </c>
      <c r="L50" t="s">
        <v>1525</v>
      </c>
      <c r="M50">
        <v>39</v>
      </c>
      <c r="N50" t="s">
        <v>1528</v>
      </c>
      <c r="O50">
        <f t="shared" si="0"/>
        <v>2025</v>
      </c>
      <c r="P50">
        <f t="shared" si="1"/>
        <v>2</v>
      </c>
      <c r="Q50" s="3">
        <f t="shared" si="2"/>
        <v>5.4641371681415922</v>
      </c>
      <c r="R50">
        <f t="shared" si="3"/>
        <v>1</v>
      </c>
      <c r="S50" t="str">
        <f t="shared" si="4"/>
        <v>Normal</v>
      </c>
      <c r="U50" t="str">
        <f t="shared" si="5"/>
        <v>2025-02</v>
      </c>
    </row>
    <row r="51" spans="1:21" x14ac:dyDescent="0.35">
      <c r="A51" t="s">
        <v>63</v>
      </c>
      <c r="B51" t="s">
        <v>563</v>
      </c>
      <c r="C51" t="s">
        <v>1052</v>
      </c>
      <c r="D51" t="s">
        <v>1504</v>
      </c>
      <c r="E51" s="9" t="s">
        <v>1508</v>
      </c>
      <c r="F51" s="9" t="s">
        <v>1511</v>
      </c>
      <c r="G51" s="7">
        <v>45658</v>
      </c>
      <c r="H51" s="5">
        <v>82</v>
      </c>
      <c r="I51" s="3">
        <v>0</v>
      </c>
      <c r="J51" t="s">
        <v>1516</v>
      </c>
      <c r="K51" t="s">
        <v>1524</v>
      </c>
      <c r="L51" t="s">
        <v>1525</v>
      </c>
      <c r="M51">
        <v>26</v>
      </c>
      <c r="N51" t="s">
        <v>1528</v>
      </c>
      <c r="O51">
        <f t="shared" si="0"/>
        <v>2025</v>
      </c>
      <c r="P51">
        <f t="shared" si="1"/>
        <v>1</v>
      </c>
      <c r="Q51" s="3">
        <f t="shared" si="2"/>
        <v>5.4762527716186238</v>
      </c>
      <c r="R51">
        <f t="shared" si="3"/>
        <v>0</v>
      </c>
      <c r="S51" t="str">
        <f t="shared" si="4"/>
        <v>Normal</v>
      </c>
      <c r="U51" t="str">
        <f t="shared" si="5"/>
        <v>2025-01</v>
      </c>
    </row>
    <row r="52" spans="1:21" x14ac:dyDescent="0.35">
      <c r="A52" t="s">
        <v>64</v>
      </c>
      <c r="B52" t="s">
        <v>564</v>
      </c>
      <c r="C52" t="s">
        <v>1053</v>
      </c>
      <c r="D52" t="s">
        <v>1502</v>
      </c>
      <c r="E52" s="9" t="s">
        <v>1507</v>
      </c>
      <c r="F52" s="9" t="s">
        <v>1514</v>
      </c>
      <c r="G52" s="7">
        <v>45781</v>
      </c>
      <c r="H52" s="5">
        <v>42</v>
      </c>
      <c r="I52" s="3">
        <v>0</v>
      </c>
      <c r="J52" t="s">
        <v>1516</v>
      </c>
      <c r="K52" t="s">
        <v>1521</v>
      </c>
      <c r="L52" t="s">
        <v>1525</v>
      </c>
      <c r="M52">
        <v>18</v>
      </c>
      <c r="N52" t="s">
        <v>1528</v>
      </c>
      <c r="O52">
        <f t="shared" si="0"/>
        <v>2025</v>
      </c>
      <c r="P52">
        <f t="shared" si="1"/>
        <v>5</v>
      </c>
      <c r="Q52" s="3">
        <f t="shared" si="2"/>
        <v>5.488422222222221</v>
      </c>
      <c r="R52">
        <f t="shared" si="3"/>
        <v>1</v>
      </c>
      <c r="S52" t="str">
        <f t="shared" si="4"/>
        <v>Normal</v>
      </c>
      <c r="U52" t="str">
        <f t="shared" si="5"/>
        <v>2025-05</v>
      </c>
    </row>
    <row r="53" spans="1:21" x14ac:dyDescent="0.35">
      <c r="A53" t="s">
        <v>65</v>
      </c>
      <c r="B53" t="s">
        <v>565</v>
      </c>
      <c r="C53" t="s">
        <v>1054</v>
      </c>
      <c r="D53" t="s">
        <v>1503</v>
      </c>
      <c r="E53" s="9" t="s">
        <v>1509</v>
      </c>
      <c r="F53" s="9" t="s">
        <v>1510</v>
      </c>
      <c r="G53" s="7">
        <v>45645</v>
      </c>
      <c r="H53" s="5">
        <v>108</v>
      </c>
      <c r="I53" s="3">
        <v>0</v>
      </c>
      <c r="J53" t="s">
        <v>1516</v>
      </c>
      <c r="K53" t="s">
        <v>1521</v>
      </c>
      <c r="L53" t="s">
        <v>1525</v>
      </c>
      <c r="M53">
        <v>35</v>
      </c>
      <c r="N53" t="s">
        <v>1528</v>
      </c>
      <c r="O53">
        <f t="shared" si="0"/>
        <v>2024</v>
      </c>
      <c r="P53">
        <f t="shared" si="1"/>
        <v>12</v>
      </c>
      <c r="Q53" s="3">
        <f t="shared" si="2"/>
        <v>5.5006458797327387</v>
      </c>
      <c r="R53">
        <f t="shared" si="3"/>
        <v>1</v>
      </c>
      <c r="S53" t="str">
        <f t="shared" si="4"/>
        <v>Normal</v>
      </c>
      <c r="U53" t="str">
        <f t="shared" si="5"/>
        <v>2024-12</v>
      </c>
    </row>
    <row r="54" spans="1:21" x14ac:dyDescent="0.35">
      <c r="A54" t="s">
        <v>66</v>
      </c>
      <c r="B54" t="s">
        <v>566</v>
      </c>
      <c r="C54" t="s">
        <v>1055</v>
      </c>
      <c r="D54" t="s">
        <v>1504</v>
      </c>
      <c r="E54" s="9" t="s">
        <v>1507</v>
      </c>
      <c r="F54" s="9" t="s">
        <v>1515</v>
      </c>
      <c r="G54" s="7">
        <v>45758</v>
      </c>
      <c r="H54" s="5">
        <v>38</v>
      </c>
      <c r="I54" s="3">
        <v>0</v>
      </c>
      <c r="J54" t="s">
        <v>1516</v>
      </c>
      <c r="K54" t="s">
        <v>1521</v>
      </c>
      <c r="L54" t="s">
        <v>1525</v>
      </c>
      <c r="M54">
        <v>34</v>
      </c>
      <c r="N54" t="s">
        <v>1528</v>
      </c>
      <c r="O54">
        <f t="shared" si="0"/>
        <v>2025</v>
      </c>
      <c r="P54">
        <f t="shared" si="1"/>
        <v>4</v>
      </c>
      <c r="Q54" s="3">
        <f t="shared" si="2"/>
        <v>5.5129241071428563</v>
      </c>
      <c r="R54">
        <f t="shared" si="3"/>
        <v>1</v>
      </c>
      <c r="S54" t="str">
        <f t="shared" si="4"/>
        <v>Normal</v>
      </c>
      <c r="U54" t="str">
        <f t="shared" si="5"/>
        <v>2025-04</v>
      </c>
    </row>
    <row r="55" spans="1:21" x14ac:dyDescent="0.35">
      <c r="A55" t="s">
        <v>67</v>
      </c>
      <c r="B55" t="s">
        <v>567</v>
      </c>
      <c r="C55" t="s">
        <v>1056</v>
      </c>
      <c r="D55" t="s">
        <v>1502</v>
      </c>
      <c r="E55" s="9" t="s">
        <v>1509</v>
      </c>
      <c r="F55" s="9" t="s">
        <v>1515</v>
      </c>
      <c r="G55" s="7">
        <v>45727</v>
      </c>
      <c r="H55" s="5">
        <v>136</v>
      </c>
      <c r="I55" s="3">
        <v>0</v>
      </c>
      <c r="J55" t="s">
        <v>1516</v>
      </c>
      <c r="K55" t="s">
        <v>1521</v>
      </c>
      <c r="L55" t="s">
        <v>1525</v>
      </c>
      <c r="M55">
        <v>11</v>
      </c>
      <c r="N55" t="s">
        <v>1528</v>
      </c>
      <c r="O55">
        <f t="shared" si="0"/>
        <v>2025</v>
      </c>
      <c r="P55">
        <f t="shared" si="1"/>
        <v>3</v>
      </c>
      <c r="Q55" s="3">
        <f t="shared" si="2"/>
        <v>5.525257270693511</v>
      </c>
      <c r="R55">
        <f t="shared" si="3"/>
        <v>1</v>
      </c>
      <c r="S55" t="str">
        <f t="shared" si="4"/>
        <v>Normal</v>
      </c>
      <c r="U55" t="str">
        <f t="shared" si="5"/>
        <v>2025-03</v>
      </c>
    </row>
    <row r="56" spans="1:21" x14ac:dyDescent="0.35">
      <c r="A56" t="s">
        <v>68</v>
      </c>
      <c r="B56" t="s">
        <v>568</v>
      </c>
      <c r="C56" t="s">
        <v>1057</v>
      </c>
      <c r="D56" t="s">
        <v>1502</v>
      </c>
      <c r="E56" s="9" t="s">
        <v>1508</v>
      </c>
      <c r="F56" s="9" t="s">
        <v>1511</v>
      </c>
      <c r="G56" s="7">
        <v>45814</v>
      </c>
      <c r="H56" s="5">
        <v>20</v>
      </c>
      <c r="I56" s="3">
        <v>0</v>
      </c>
      <c r="J56" t="s">
        <v>1516</v>
      </c>
      <c r="K56" t="s">
        <v>1524</v>
      </c>
      <c r="L56" t="s">
        <v>1525</v>
      </c>
      <c r="M56">
        <v>49</v>
      </c>
      <c r="N56" t="s">
        <v>1528</v>
      </c>
      <c r="O56">
        <f t="shared" si="0"/>
        <v>2025</v>
      </c>
      <c r="P56">
        <f t="shared" si="1"/>
        <v>6</v>
      </c>
      <c r="Q56" s="3">
        <f t="shared" si="2"/>
        <v>5.5376457399103129</v>
      </c>
      <c r="R56">
        <f t="shared" si="3"/>
        <v>0</v>
      </c>
      <c r="S56" t="str">
        <f t="shared" si="4"/>
        <v>Normal</v>
      </c>
      <c r="U56" t="str">
        <f t="shared" si="5"/>
        <v>2025-06</v>
      </c>
    </row>
    <row r="57" spans="1:21" x14ac:dyDescent="0.35">
      <c r="A57" t="s">
        <v>69</v>
      </c>
      <c r="B57" t="s">
        <v>569</v>
      </c>
      <c r="C57" t="s">
        <v>1058</v>
      </c>
      <c r="D57" t="s">
        <v>1502</v>
      </c>
      <c r="E57" s="9" t="s">
        <v>1508</v>
      </c>
      <c r="F57" s="9" t="s">
        <v>1512</v>
      </c>
      <c r="G57" s="7">
        <v>45788</v>
      </c>
      <c r="H57" s="5">
        <v>117</v>
      </c>
      <c r="I57" s="3">
        <v>0</v>
      </c>
      <c r="J57" t="s">
        <v>1516</v>
      </c>
      <c r="K57" t="s">
        <v>1523</v>
      </c>
      <c r="L57" t="s">
        <v>1525</v>
      </c>
      <c r="M57">
        <v>11</v>
      </c>
      <c r="N57" t="s">
        <v>1528</v>
      </c>
      <c r="O57">
        <f t="shared" si="0"/>
        <v>2025</v>
      </c>
      <c r="P57">
        <f t="shared" si="1"/>
        <v>5</v>
      </c>
      <c r="Q57" s="3">
        <f t="shared" si="2"/>
        <v>5.5500898876404481</v>
      </c>
      <c r="R57">
        <f t="shared" si="3"/>
        <v>0</v>
      </c>
      <c r="S57" t="str">
        <f t="shared" si="4"/>
        <v>Normal</v>
      </c>
      <c r="U57" t="str">
        <f t="shared" si="5"/>
        <v>2025-05</v>
      </c>
    </row>
    <row r="58" spans="1:21" x14ac:dyDescent="0.35">
      <c r="A58" t="s">
        <v>70</v>
      </c>
      <c r="B58" t="s">
        <v>570</v>
      </c>
      <c r="C58" t="s">
        <v>1059</v>
      </c>
      <c r="D58" t="s">
        <v>1502</v>
      </c>
      <c r="E58" s="9" t="s">
        <v>1509</v>
      </c>
      <c r="F58" s="9" t="s">
        <v>1512</v>
      </c>
      <c r="G58" s="7">
        <v>45781</v>
      </c>
      <c r="H58" s="5">
        <v>139</v>
      </c>
      <c r="I58" s="3">
        <v>0</v>
      </c>
      <c r="J58" t="s">
        <v>1516</v>
      </c>
      <c r="K58" t="s">
        <v>1521</v>
      </c>
      <c r="L58" t="s">
        <v>1525</v>
      </c>
      <c r="M58">
        <v>41</v>
      </c>
      <c r="N58" t="s">
        <v>1528</v>
      </c>
      <c r="O58">
        <f t="shared" si="0"/>
        <v>2025</v>
      </c>
      <c r="P58">
        <f t="shared" si="1"/>
        <v>5</v>
      </c>
      <c r="Q58" s="3">
        <f t="shared" si="2"/>
        <v>5.5625900900900893</v>
      </c>
      <c r="R58">
        <f t="shared" si="3"/>
        <v>1</v>
      </c>
      <c r="S58" t="str">
        <f t="shared" si="4"/>
        <v>Normal</v>
      </c>
      <c r="U58" t="str">
        <f t="shared" si="5"/>
        <v>2025-05</v>
      </c>
    </row>
    <row r="59" spans="1:21" x14ac:dyDescent="0.35">
      <c r="A59" t="s">
        <v>71</v>
      </c>
      <c r="B59" t="s">
        <v>571</v>
      </c>
      <c r="C59" t="s">
        <v>1060</v>
      </c>
      <c r="D59" t="s">
        <v>1503</v>
      </c>
      <c r="E59" s="9" t="s">
        <v>1508</v>
      </c>
      <c r="F59" s="9" t="s">
        <v>1510</v>
      </c>
      <c r="G59" s="7">
        <v>45756</v>
      </c>
      <c r="H59" s="5">
        <v>19</v>
      </c>
      <c r="I59" s="3">
        <v>44.21</v>
      </c>
      <c r="J59" t="s">
        <v>1519</v>
      </c>
      <c r="K59" t="s">
        <v>1521</v>
      </c>
      <c r="L59" t="s">
        <v>1526</v>
      </c>
      <c r="M59">
        <v>24</v>
      </c>
      <c r="N59" t="s">
        <v>1527</v>
      </c>
      <c r="O59">
        <f t="shared" si="0"/>
        <v>2025</v>
      </c>
      <c r="P59">
        <f t="shared" si="1"/>
        <v>4</v>
      </c>
      <c r="Q59" s="3">
        <f t="shared" si="2"/>
        <v>5.5751467268623012</v>
      </c>
      <c r="R59">
        <f t="shared" si="3"/>
        <v>1</v>
      </c>
      <c r="S59" t="str">
        <f t="shared" si="4"/>
        <v>Normal</v>
      </c>
      <c r="U59" t="str">
        <f t="shared" si="5"/>
        <v>2025-04</v>
      </c>
    </row>
    <row r="60" spans="1:21" x14ac:dyDescent="0.35">
      <c r="A60" t="s">
        <v>72</v>
      </c>
      <c r="B60" t="s">
        <v>572</v>
      </c>
      <c r="C60" t="s">
        <v>1061</v>
      </c>
      <c r="D60" t="s">
        <v>1502</v>
      </c>
      <c r="E60" s="9" t="s">
        <v>1509</v>
      </c>
      <c r="F60" s="9" t="s">
        <v>1510</v>
      </c>
      <c r="G60" s="7">
        <v>45771</v>
      </c>
      <c r="H60" s="5">
        <v>76</v>
      </c>
      <c r="I60" s="3">
        <v>0</v>
      </c>
      <c r="J60" t="s">
        <v>1516</v>
      </c>
      <c r="K60" t="s">
        <v>1521</v>
      </c>
      <c r="L60" t="s">
        <v>1525</v>
      </c>
      <c r="M60">
        <v>41</v>
      </c>
      <c r="N60" t="s">
        <v>1528</v>
      </c>
      <c r="O60">
        <f t="shared" si="0"/>
        <v>2025</v>
      </c>
      <c r="P60">
        <f t="shared" si="1"/>
        <v>4</v>
      </c>
      <c r="Q60" s="3">
        <f t="shared" si="2"/>
        <v>5.4877375565610862</v>
      </c>
      <c r="R60">
        <f t="shared" si="3"/>
        <v>1</v>
      </c>
      <c r="S60" t="str">
        <f t="shared" si="4"/>
        <v>Normal</v>
      </c>
      <c r="U60" t="str">
        <f t="shared" si="5"/>
        <v>2025-04</v>
      </c>
    </row>
    <row r="61" spans="1:21" x14ac:dyDescent="0.35">
      <c r="A61" t="s">
        <v>73</v>
      </c>
      <c r="B61" t="s">
        <v>573</v>
      </c>
      <c r="C61" t="s">
        <v>1062</v>
      </c>
      <c r="D61" t="s">
        <v>1506</v>
      </c>
      <c r="E61" s="9" t="s">
        <v>1509</v>
      </c>
      <c r="F61" s="9" t="s">
        <v>1511</v>
      </c>
      <c r="G61" s="7">
        <v>45767</v>
      </c>
      <c r="H61" s="5">
        <v>153</v>
      </c>
      <c r="I61" s="3">
        <v>0</v>
      </c>
      <c r="J61" t="s">
        <v>1516</v>
      </c>
      <c r="K61" t="s">
        <v>1521</v>
      </c>
      <c r="L61" t="s">
        <v>1525</v>
      </c>
      <c r="M61">
        <v>2</v>
      </c>
      <c r="N61" t="s">
        <v>1527</v>
      </c>
      <c r="O61">
        <f t="shared" si="0"/>
        <v>2025</v>
      </c>
      <c r="P61">
        <f t="shared" si="1"/>
        <v>4</v>
      </c>
      <c r="Q61" s="3">
        <f t="shared" si="2"/>
        <v>5.5001814058956917</v>
      </c>
      <c r="R61">
        <f t="shared" si="3"/>
        <v>1</v>
      </c>
      <c r="S61" t="str">
        <f t="shared" si="4"/>
        <v>Normal</v>
      </c>
      <c r="U61" t="str">
        <f t="shared" si="5"/>
        <v>2025-04</v>
      </c>
    </row>
    <row r="62" spans="1:21" x14ac:dyDescent="0.35">
      <c r="A62" t="s">
        <v>74</v>
      </c>
      <c r="B62" t="s">
        <v>574</v>
      </c>
      <c r="C62" t="s">
        <v>1063</v>
      </c>
      <c r="D62" t="s">
        <v>1504</v>
      </c>
      <c r="E62" s="9" t="s">
        <v>1507</v>
      </c>
      <c r="F62" s="9" t="s">
        <v>1512</v>
      </c>
      <c r="G62" s="7">
        <v>45804</v>
      </c>
      <c r="H62" s="5">
        <v>156</v>
      </c>
      <c r="I62" s="3">
        <v>0</v>
      </c>
      <c r="J62" t="s">
        <v>1516</v>
      </c>
      <c r="K62" t="s">
        <v>1521</v>
      </c>
      <c r="L62" t="s">
        <v>1526</v>
      </c>
      <c r="M62">
        <v>50</v>
      </c>
      <c r="N62" t="s">
        <v>1527</v>
      </c>
      <c r="O62">
        <f t="shared" si="0"/>
        <v>2025</v>
      </c>
      <c r="P62">
        <f t="shared" si="1"/>
        <v>5</v>
      </c>
      <c r="Q62" s="3">
        <f t="shared" si="2"/>
        <v>5.512681818181818</v>
      </c>
      <c r="R62">
        <f t="shared" si="3"/>
        <v>1</v>
      </c>
      <c r="S62" t="str">
        <f t="shared" si="4"/>
        <v>Normal</v>
      </c>
      <c r="U62" t="str">
        <f t="shared" si="5"/>
        <v>2025-05</v>
      </c>
    </row>
    <row r="63" spans="1:21" x14ac:dyDescent="0.35">
      <c r="A63" t="s">
        <v>75</v>
      </c>
      <c r="B63" t="s">
        <v>575</v>
      </c>
      <c r="C63" t="s">
        <v>1064</v>
      </c>
      <c r="D63" t="s">
        <v>1504</v>
      </c>
      <c r="E63" s="9" t="s">
        <v>1508</v>
      </c>
      <c r="F63" s="9" t="s">
        <v>1515</v>
      </c>
      <c r="G63" s="7">
        <v>45739</v>
      </c>
      <c r="H63" s="5">
        <v>153</v>
      </c>
      <c r="I63" s="3">
        <v>0</v>
      </c>
      <c r="J63" t="s">
        <v>1516</v>
      </c>
      <c r="K63" t="s">
        <v>1521</v>
      </c>
      <c r="L63" t="s">
        <v>1526</v>
      </c>
      <c r="M63">
        <v>44</v>
      </c>
      <c r="N63" t="s">
        <v>1527</v>
      </c>
      <c r="O63">
        <f t="shared" si="0"/>
        <v>2025</v>
      </c>
      <c r="P63">
        <f t="shared" si="1"/>
        <v>3</v>
      </c>
      <c r="Q63" s="3">
        <f t="shared" si="2"/>
        <v>5.5252391799544416</v>
      </c>
      <c r="R63">
        <f t="shared" si="3"/>
        <v>1</v>
      </c>
      <c r="S63" t="str">
        <f t="shared" si="4"/>
        <v>Normal</v>
      </c>
      <c r="U63" t="str">
        <f t="shared" si="5"/>
        <v>2025-03</v>
      </c>
    </row>
    <row r="64" spans="1:21" x14ac:dyDescent="0.35">
      <c r="A64" t="s">
        <v>76</v>
      </c>
      <c r="B64" t="s">
        <v>576</v>
      </c>
      <c r="C64" t="s">
        <v>1065</v>
      </c>
      <c r="D64" t="s">
        <v>1503</v>
      </c>
      <c r="E64" s="9" t="s">
        <v>1507</v>
      </c>
      <c r="F64" s="9" t="s">
        <v>1515</v>
      </c>
      <c r="G64" s="7">
        <v>45658</v>
      </c>
      <c r="H64" s="5">
        <v>77</v>
      </c>
      <c r="I64" s="3">
        <v>39.880000000000003</v>
      </c>
      <c r="J64" t="s">
        <v>1520</v>
      </c>
      <c r="K64" t="s">
        <v>1521</v>
      </c>
      <c r="L64" t="s">
        <v>1526</v>
      </c>
      <c r="M64">
        <v>25</v>
      </c>
      <c r="N64" t="s">
        <v>1528</v>
      </c>
      <c r="O64">
        <f t="shared" si="0"/>
        <v>2025</v>
      </c>
      <c r="P64">
        <f t="shared" si="1"/>
        <v>1</v>
      </c>
      <c r="Q64" s="3">
        <f t="shared" si="2"/>
        <v>5.5378538812785383</v>
      </c>
      <c r="R64">
        <f t="shared" si="3"/>
        <v>1</v>
      </c>
      <c r="S64" t="str">
        <f t="shared" si="4"/>
        <v>Normal</v>
      </c>
      <c r="U64" t="str">
        <f t="shared" si="5"/>
        <v>2025-01</v>
      </c>
    </row>
    <row r="65" spans="1:21" x14ac:dyDescent="0.35">
      <c r="A65" t="s">
        <v>77</v>
      </c>
      <c r="B65" t="s">
        <v>577</v>
      </c>
      <c r="C65" t="s">
        <v>1066</v>
      </c>
      <c r="D65" t="s">
        <v>1503</v>
      </c>
      <c r="E65" s="9" t="s">
        <v>1509</v>
      </c>
      <c r="F65" s="9" t="s">
        <v>1514</v>
      </c>
      <c r="G65" s="7">
        <v>45818</v>
      </c>
      <c r="H65" s="5">
        <v>81</v>
      </c>
      <c r="I65" s="3">
        <v>10.1</v>
      </c>
      <c r="J65" t="s">
        <v>1518</v>
      </c>
      <c r="K65" t="s">
        <v>1522</v>
      </c>
      <c r="L65" t="s">
        <v>1526</v>
      </c>
      <c r="M65">
        <v>24</v>
      </c>
      <c r="N65" t="s">
        <v>1528</v>
      </c>
      <c r="O65">
        <f t="shared" si="0"/>
        <v>2025</v>
      </c>
      <c r="P65">
        <f t="shared" si="1"/>
        <v>6</v>
      </c>
      <c r="Q65" s="3">
        <f t="shared" si="2"/>
        <v>5.4592677345537757</v>
      </c>
      <c r="R65">
        <f t="shared" si="3"/>
        <v>0</v>
      </c>
      <c r="S65" t="str">
        <f t="shared" si="4"/>
        <v>Normal</v>
      </c>
      <c r="U65" t="str">
        <f t="shared" si="5"/>
        <v>2025-06</v>
      </c>
    </row>
    <row r="66" spans="1:21" x14ac:dyDescent="0.35">
      <c r="A66" t="s">
        <v>78</v>
      </c>
      <c r="B66" t="s">
        <v>578</v>
      </c>
      <c r="C66" t="s">
        <v>1067</v>
      </c>
      <c r="D66" t="s">
        <v>1506</v>
      </c>
      <c r="E66" s="9" t="s">
        <v>1509</v>
      </c>
      <c r="F66" s="9" t="s">
        <v>1510</v>
      </c>
      <c r="G66" s="7">
        <v>45713</v>
      </c>
      <c r="H66" s="5">
        <v>7</v>
      </c>
      <c r="I66" s="3">
        <v>0</v>
      </c>
      <c r="J66" t="s">
        <v>1516</v>
      </c>
      <c r="K66" t="s">
        <v>1524</v>
      </c>
      <c r="L66" t="s">
        <v>1525</v>
      </c>
      <c r="M66">
        <v>32</v>
      </c>
      <c r="N66" t="s">
        <v>1528</v>
      </c>
      <c r="O66">
        <f t="shared" si="0"/>
        <v>2025</v>
      </c>
      <c r="P66">
        <f t="shared" si="1"/>
        <v>2</v>
      </c>
      <c r="Q66" s="3">
        <f t="shared" si="2"/>
        <v>5.4486238532110089</v>
      </c>
      <c r="R66">
        <f t="shared" si="3"/>
        <v>0</v>
      </c>
      <c r="S66" t="str">
        <f t="shared" si="4"/>
        <v>Normal</v>
      </c>
      <c r="U66" t="str">
        <f t="shared" si="5"/>
        <v>2025-02</v>
      </c>
    </row>
    <row r="67" spans="1:21" x14ac:dyDescent="0.35">
      <c r="A67" t="s">
        <v>79</v>
      </c>
      <c r="B67" t="s">
        <v>579</v>
      </c>
      <c r="C67" t="s">
        <v>1068</v>
      </c>
      <c r="D67" t="s">
        <v>1506</v>
      </c>
      <c r="E67" s="9" t="s">
        <v>1509</v>
      </c>
      <c r="F67" s="9" t="s">
        <v>1511</v>
      </c>
      <c r="G67" s="7">
        <v>45814</v>
      </c>
      <c r="H67" s="5">
        <v>152</v>
      </c>
      <c r="I67" s="3">
        <v>0</v>
      </c>
      <c r="J67" t="s">
        <v>1516</v>
      </c>
      <c r="K67" t="s">
        <v>1521</v>
      </c>
      <c r="L67" t="s">
        <v>1525</v>
      </c>
      <c r="M67">
        <v>21</v>
      </c>
      <c r="N67" t="s">
        <v>1527</v>
      </c>
      <c r="O67">
        <f t="shared" ref="O67:O130" si="6">YEAR(G67)</f>
        <v>2025</v>
      </c>
      <c r="P67">
        <f t="shared" ref="P67:P130" si="7">MONTH(G67)</f>
        <v>6</v>
      </c>
      <c r="Q67" s="3">
        <f t="shared" ref="Q67:Q130" si="8">SUM(I67:I566)/COUNTA(B67:B566)</f>
        <v>5.4611494252873563</v>
      </c>
      <c r="R67">
        <f t="shared" ref="R67:R130" si="9">IF(K67="Completed",1,0)</f>
        <v>1</v>
      </c>
      <c r="S67" t="str">
        <f t="shared" ref="S67:S130" si="10">IF((H67&gt;$T$2),"Suspicious","Normal")</f>
        <v>Normal</v>
      </c>
      <c r="U67" t="str">
        <f t="shared" ref="U67:U130" si="11">TEXT(G67,"yyyy-mm")</f>
        <v>2025-06</v>
      </c>
    </row>
    <row r="68" spans="1:21" x14ac:dyDescent="0.35">
      <c r="A68" t="s">
        <v>80</v>
      </c>
      <c r="B68" t="s">
        <v>580</v>
      </c>
      <c r="C68" t="s">
        <v>1069</v>
      </c>
      <c r="D68" t="s">
        <v>1504</v>
      </c>
      <c r="E68" s="9" t="s">
        <v>1509</v>
      </c>
      <c r="F68" s="9" t="s">
        <v>1515</v>
      </c>
      <c r="G68" s="7">
        <v>45662</v>
      </c>
      <c r="H68" s="5">
        <v>64</v>
      </c>
      <c r="I68" s="3">
        <v>0</v>
      </c>
      <c r="J68" t="s">
        <v>1516</v>
      </c>
      <c r="K68" t="s">
        <v>1523</v>
      </c>
      <c r="L68" t="s">
        <v>1525</v>
      </c>
      <c r="M68">
        <v>13</v>
      </c>
      <c r="N68" t="s">
        <v>1528</v>
      </c>
      <c r="O68">
        <f t="shared" si="6"/>
        <v>2025</v>
      </c>
      <c r="P68">
        <f t="shared" si="7"/>
        <v>1</v>
      </c>
      <c r="Q68" s="3">
        <f t="shared" si="8"/>
        <v>5.4737327188940093</v>
      </c>
      <c r="R68">
        <f t="shared" si="9"/>
        <v>0</v>
      </c>
      <c r="S68" t="str">
        <f t="shared" si="10"/>
        <v>Normal</v>
      </c>
      <c r="U68" t="str">
        <f t="shared" si="11"/>
        <v>2025-01</v>
      </c>
    </row>
    <row r="69" spans="1:21" x14ac:dyDescent="0.35">
      <c r="A69" t="s">
        <v>81</v>
      </c>
      <c r="B69" t="s">
        <v>581</v>
      </c>
      <c r="C69" t="s">
        <v>1070</v>
      </c>
      <c r="D69" t="s">
        <v>1502</v>
      </c>
      <c r="E69" s="9" t="s">
        <v>1507</v>
      </c>
      <c r="F69" s="9" t="s">
        <v>1512</v>
      </c>
      <c r="G69" s="7">
        <v>45811</v>
      </c>
      <c r="H69" s="5">
        <v>165</v>
      </c>
      <c r="I69" s="3">
        <v>0</v>
      </c>
      <c r="J69" t="s">
        <v>1516</v>
      </c>
      <c r="K69" t="s">
        <v>1521</v>
      </c>
      <c r="L69" t="s">
        <v>1525</v>
      </c>
      <c r="M69">
        <v>41</v>
      </c>
      <c r="N69" t="s">
        <v>1527</v>
      </c>
      <c r="O69">
        <f t="shared" si="6"/>
        <v>2025</v>
      </c>
      <c r="P69">
        <f t="shared" si="7"/>
        <v>6</v>
      </c>
      <c r="Q69" s="3">
        <f t="shared" si="8"/>
        <v>5.4863741339491918</v>
      </c>
      <c r="R69">
        <f t="shared" si="9"/>
        <v>1</v>
      </c>
      <c r="S69" t="str">
        <f t="shared" si="10"/>
        <v>Normal</v>
      </c>
      <c r="U69" t="str">
        <f t="shared" si="11"/>
        <v>2025-06</v>
      </c>
    </row>
    <row r="70" spans="1:21" x14ac:dyDescent="0.35">
      <c r="A70" t="s">
        <v>82</v>
      </c>
      <c r="B70" t="s">
        <v>582</v>
      </c>
      <c r="C70" t="s">
        <v>1071</v>
      </c>
      <c r="D70" t="s">
        <v>1506</v>
      </c>
      <c r="E70" s="9" t="s">
        <v>1507</v>
      </c>
      <c r="F70" s="9" t="s">
        <v>1510</v>
      </c>
      <c r="G70" s="7">
        <v>45674</v>
      </c>
      <c r="H70" s="5">
        <v>165</v>
      </c>
      <c r="I70" s="3">
        <v>0</v>
      </c>
      <c r="J70" t="s">
        <v>1516</v>
      </c>
      <c r="K70" t="s">
        <v>1521</v>
      </c>
      <c r="L70" t="s">
        <v>1525</v>
      </c>
      <c r="M70">
        <v>15</v>
      </c>
      <c r="N70" t="s">
        <v>1527</v>
      </c>
      <c r="O70">
        <f t="shared" si="6"/>
        <v>2025</v>
      </c>
      <c r="P70">
        <f t="shared" si="7"/>
        <v>1</v>
      </c>
      <c r="Q70" s="3">
        <f t="shared" si="8"/>
        <v>5.4990740740740742</v>
      </c>
      <c r="R70">
        <f t="shared" si="9"/>
        <v>1</v>
      </c>
      <c r="S70" t="str">
        <f t="shared" si="10"/>
        <v>Normal</v>
      </c>
      <c r="U70" t="str">
        <f t="shared" si="11"/>
        <v>2025-01</v>
      </c>
    </row>
    <row r="71" spans="1:21" x14ac:dyDescent="0.35">
      <c r="A71" t="s">
        <v>83</v>
      </c>
      <c r="B71" t="s">
        <v>583</v>
      </c>
      <c r="C71" t="s">
        <v>1072</v>
      </c>
      <c r="D71" t="s">
        <v>1505</v>
      </c>
      <c r="E71" s="9" t="s">
        <v>1509</v>
      </c>
      <c r="F71" s="9" t="s">
        <v>1515</v>
      </c>
      <c r="G71" s="7">
        <v>45682</v>
      </c>
      <c r="H71" s="5">
        <v>79</v>
      </c>
      <c r="I71" s="3">
        <v>0</v>
      </c>
      <c r="J71" t="s">
        <v>1516</v>
      </c>
      <c r="K71" t="s">
        <v>1523</v>
      </c>
      <c r="L71" t="s">
        <v>1525</v>
      </c>
      <c r="M71">
        <v>18</v>
      </c>
      <c r="N71" t="s">
        <v>1528</v>
      </c>
      <c r="O71">
        <f t="shared" si="6"/>
        <v>2025</v>
      </c>
      <c r="P71">
        <f t="shared" si="7"/>
        <v>1</v>
      </c>
      <c r="Q71" s="3">
        <f t="shared" si="8"/>
        <v>5.5118329466357308</v>
      </c>
      <c r="R71">
        <f t="shared" si="9"/>
        <v>0</v>
      </c>
      <c r="S71" t="str">
        <f t="shared" si="10"/>
        <v>Normal</v>
      </c>
      <c r="U71" t="str">
        <f t="shared" si="11"/>
        <v>2025-01</v>
      </c>
    </row>
    <row r="72" spans="1:21" x14ac:dyDescent="0.35">
      <c r="A72" t="s">
        <v>84</v>
      </c>
      <c r="B72" t="s">
        <v>584</v>
      </c>
      <c r="C72" t="s">
        <v>1073</v>
      </c>
      <c r="D72" t="s">
        <v>1506</v>
      </c>
      <c r="E72" s="9" t="s">
        <v>1509</v>
      </c>
      <c r="F72" s="9" t="s">
        <v>1511</v>
      </c>
      <c r="G72" s="7">
        <v>45820</v>
      </c>
      <c r="H72" s="5">
        <v>81</v>
      </c>
      <c r="I72" s="3">
        <v>0</v>
      </c>
      <c r="J72" t="s">
        <v>1516</v>
      </c>
      <c r="K72" t="s">
        <v>1523</v>
      </c>
      <c r="L72" t="s">
        <v>1525</v>
      </c>
      <c r="M72">
        <v>37</v>
      </c>
      <c r="N72" t="s">
        <v>1528</v>
      </c>
      <c r="O72">
        <f t="shared" si="6"/>
        <v>2025</v>
      </c>
      <c r="P72">
        <f t="shared" si="7"/>
        <v>6</v>
      </c>
      <c r="Q72" s="3">
        <f t="shared" si="8"/>
        <v>5.5246511627906978</v>
      </c>
      <c r="R72">
        <f t="shared" si="9"/>
        <v>0</v>
      </c>
      <c r="S72" t="str">
        <f t="shared" si="10"/>
        <v>Normal</v>
      </c>
      <c r="U72" t="str">
        <f t="shared" si="11"/>
        <v>2025-06</v>
      </c>
    </row>
    <row r="73" spans="1:21" x14ac:dyDescent="0.35">
      <c r="A73" t="s">
        <v>85</v>
      </c>
      <c r="B73" t="s">
        <v>585</v>
      </c>
      <c r="C73" t="s">
        <v>1074</v>
      </c>
      <c r="D73" t="s">
        <v>1503</v>
      </c>
      <c r="E73" s="9" t="s">
        <v>1507</v>
      </c>
      <c r="F73" s="9" t="s">
        <v>1514</v>
      </c>
      <c r="G73" s="7">
        <v>45659</v>
      </c>
      <c r="H73" s="5">
        <v>84</v>
      </c>
      <c r="I73" s="3">
        <v>0</v>
      </c>
      <c r="J73" t="s">
        <v>1516</v>
      </c>
      <c r="K73" t="s">
        <v>1521</v>
      </c>
      <c r="L73" t="s">
        <v>1525</v>
      </c>
      <c r="M73">
        <v>11</v>
      </c>
      <c r="N73" t="s">
        <v>1528</v>
      </c>
      <c r="O73">
        <f t="shared" si="6"/>
        <v>2025</v>
      </c>
      <c r="P73">
        <f t="shared" si="7"/>
        <v>1</v>
      </c>
      <c r="Q73" s="3">
        <f t="shared" si="8"/>
        <v>5.5375291375291376</v>
      </c>
      <c r="R73">
        <f t="shared" si="9"/>
        <v>1</v>
      </c>
      <c r="S73" t="str">
        <f t="shared" si="10"/>
        <v>Normal</v>
      </c>
      <c r="U73" t="str">
        <f t="shared" si="11"/>
        <v>2025-01</v>
      </c>
    </row>
    <row r="74" spans="1:21" x14ac:dyDescent="0.35">
      <c r="A74" t="s">
        <v>86</v>
      </c>
      <c r="B74" t="s">
        <v>586</v>
      </c>
      <c r="C74" t="s">
        <v>1075</v>
      </c>
      <c r="D74" t="s">
        <v>1504</v>
      </c>
      <c r="E74" s="9" t="s">
        <v>1508</v>
      </c>
      <c r="F74" s="9" t="s">
        <v>1512</v>
      </c>
      <c r="G74" s="7">
        <v>45782</v>
      </c>
      <c r="H74" s="5">
        <v>79</v>
      </c>
      <c r="I74" s="3">
        <v>0</v>
      </c>
      <c r="J74" t="s">
        <v>1516</v>
      </c>
      <c r="K74" t="s">
        <v>1521</v>
      </c>
      <c r="L74" t="s">
        <v>1525</v>
      </c>
      <c r="M74">
        <v>49</v>
      </c>
      <c r="N74" t="s">
        <v>1528</v>
      </c>
      <c r="O74">
        <f t="shared" si="6"/>
        <v>2025</v>
      </c>
      <c r="P74">
        <f t="shared" si="7"/>
        <v>5</v>
      </c>
      <c r="Q74" s="3">
        <f t="shared" si="8"/>
        <v>5.5504672897196263</v>
      </c>
      <c r="R74">
        <f t="shared" si="9"/>
        <v>1</v>
      </c>
      <c r="S74" t="str">
        <f t="shared" si="10"/>
        <v>Normal</v>
      </c>
      <c r="U74" t="str">
        <f t="shared" si="11"/>
        <v>2025-05</v>
      </c>
    </row>
    <row r="75" spans="1:21" x14ac:dyDescent="0.35">
      <c r="A75" t="s">
        <v>87</v>
      </c>
      <c r="B75" t="s">
        <v>587</v>
      </c>
      <c r="C75" t="s">
        <v>1076</v>
      </c>
      <c r="D75" t="s">
        <v>1502</v>
      </c>
      <c r="E75" s="9" t="s">
        <v>1507</v>
      </c>
      <c r="F75" s="9" t="s">
        <v>1512</v>
      </c>
      <c r="G75" s="7">
        <v>45665</v>
      </c>
      <c r="H75" s="5">
        <v>147</v>
      </c>
      <c r="I75" s="3">
        <v>0</v>
      </c>
      <c r="J75" t="s">
        <v>1516</v>
      </c>
      <c r="K75" t="s">
        <v>1521</v>
      </c>
      <c r="L75" t="s">
        <v>1525</v>
      </c>
      <c r="M75">
        <v>14</v>
      </c>
      <c r="N75" t="s">
        <v>1528</v>
      </c>
      <c r="O75">
        <f t="shared" si="6"/>
        <v>2025</v>
      </c>
      <c r="P75">
        <f t="shared" si="7"/>
        <v>1</v>
      </c>
      <c r="Q75" s="3">
        <f t="shared" si="8"/>
        <v>5.563466042154567</v>
      </c>
      <c r="R75">
        <f t="shared" si="9"/>
        <v>1</v>
      </c>
      <c r="S75" t="str">
        <f t="shared" si="10"/>
        <v>Normal</v>
      </c>
      <c r="U75" t="str">
        <f t="shared" si="11"/>
        <v>2025-01</v>
      </c>
    </row>
    <row r="76" spans="1:21" x14ac:dyDescent="0.35">
      <c r="A76" t="s">
        <v>88</v>
      </c>
      <c r="B76" t="s">
        <v>588</v>
      </c>
      <c r="C76" t="s">
        <v>1077</v>
      </c>
      <c r="D76" t="s">
        <v>1506</v>
      </c>
      <c r="E76" s="9" t="s">
        <v>1507</v>
      </c>
      <c r="F76" s="9" t="s">
        <v>1515</v>
      </c>
      <c r="G76" s="7">
        <v>45750</v>
      </c>
      <c r="H76" s="5">
        <v>70</v>
      </c>
      <c r="I76" s="3">
        <v>0</v>
      </c>
      <c r="J76" t="s">
        <v>1516</v>
      </c>
      <c r="K76" t="s">
        <v>1521</v>
      </c>
      <c r="L76" t="s">
        <v>1525</v>
      </c>
      <c r="M76">
        <v>12</v>
      </c>
      <c r="N76" t="s">
        <v>1528</v>
      </c>
      <c r="O76">
        <f t="shared" si="6"/>
        <v>2025</v>
      </c>
      <c r="P76">
        <f t="shared" si="7"/>
        <v>4</v>
      </c>
      <c r="Q76" s="3">
        <f t="shared" si="8"/>
        <v>5.5765258215962437</v>
      </c>
      <c r="R76">
        <f t="shared" si="9"/>
        <v>1</v>
      </c>
      <c r="S76" t="str">
        <f t="shared" si="10"/>
        <v>Normal</v>
      </c>
      <c r="U76" t="str">
        <f t="shared" si="11"/>
        <v>2025-04</v>
      </c>
    </row>
    <row r="77" spans="1:21" x14ac:dyDescent="0.35">
      <c r="A77" t="s">
        <v>89</v>
      </c>
      <c r="B77" t="s">
        <v>589</v>
      </c>
      <c r="C77" t="s">
        <v>1078</v>
      </c>
      <c r="D77" t="s">
        <v>1504</v>
      </c>
      <c r="E77" s="9" t="s">
        <v>1509</v>
      </c>
      <c r="F77" s="9" t="s">
        <v>1510</v>
      </c>
      <c r="G77" s="7">
        <v>45817</v>
      </c>
      <c r="H77" s="5">
        <v>33</v>
      </c>
      <c r="I77" s="3">
        <v>16.41</v>
      </c>
      <c r="J77" t="s">
        <v>1517</v>
      </c>
      <c r="K77" t="s">
        <v>1524</v>
      </c>
      <c r="L77" t="s">
        <v>1526</v>
      </c>
      <c r="M77">
        <v>30</v>
      </c>
      <c r="N77" t="s">
        <v>1528</v>
      </c>
      <c r="O77">
        <f t="shared" si="6"/>
        <v>2025</v>
      </c>
      <c r="P77">
        <f t="shared" si="7"/>
        <v>6</v>
      </c>
      <c r="Q77" s="3">
        <f t="shared" si="8"/>
        <v>5.5896470588235294</v>
      </c>
      <c r="R77">
        <f t="shared" si="9"/>
        <v>0</v>
      </c>
      <c r="S77" t="str">
        <f t="shared" si="10"/>
        <v>Normal</v>
      </c>
      <c r="U77" t="str">
        <f t="shared" si="11"/>
        <v>2025-06</v>
      </c>
    </row>
    <row r="78" spans="1:21" x14ac:dyDescent="0.35">
      <c r="A78" t="s">
        <v>90</v>
      </c>
      <c r="B78" t="s">
        <v>590</v>
      </c>
      <c r="C78" t="s">
        <v>1079</v>
      </c>
      <c r="D78" t="s">
        <v>1504</v>
      </c>
      <c r="E78" s="9" t="s">
        <v>1509</v>
      </c>
      <c r="F78" s="9" t="s">
        <v>1515</v>
      </c>
      <c r="G78" s="7">
        <v>45692</v>
      </c>
      <c r="H78" s="5">
        <v>128</v>
      </c>
      <c r="I78" s="3">
        <v>0</v>
      </c>
      <c r="J78" t="s">
        <v>1516</v>
      </c>
      <c r="K78" t="s">
        <v>1524</v>
      </c>
      <c r="L78" t="s">
        <v>1525</v>
      </c>
      <c r="M78">
        <v>40</v>
      </c>
      <c r="N78" t="s">
        <v>1528</v>
      </c>
      <c r="O78">
        <f t="shared" si="6"/>
        <v>2025</v>
      </c>
      <c r="P78">
        <f t="shared" si="7"/>
        <v>2</v>
      </c>
      <c r="Q78" s="3">
        <f t="shared" si="8"/>
        <v>5.5641273584905644</v>
      </c>
      <c r="R78">
        <f t="shared" si="9"/>
        <v>0</v>
      </c>
      <c r="S78" t="str">
        <f t="shared" si="10"/>
        <v>Normal</v>
      </c>
      <c r="U78" t="str">
        <f t="shared" si="11"/>
        <v>2025-02</v>
      </c>
    </row>
    <row r="79" spans="1:21" x14ac:dyDescent="0.35">
      <c r="A79" t="s">
        <v>91</v>
      </c>
      <c r="B79" t="s">
        <v>591</v>
      </c>
      <c r="C79" t="s">
        <v>1080</v>
      </c>
      <c r="D79" t="s">
        <v>1504</v>
      </c>
      <c r="E79" s="9" t="s">
        <v>1507</v>
      </c>
      <c r="F79" s="9" t="s">
        <v>1511</v>
      </c>
      <c r="G79" s="7">
        <v>45815</v>
      </c>
      <c r="H79" s="5">
        <v>28</v>
      </c>
      <c r="I79" s="3">
        <v>0</v>
      </c>
      <c r="J79" t="s">
        <v>1516</v>
      </c>
      <c r="K79" t="s">
        <v>1521</v>
      </c>
      <c r="L79" t="s">
        <v>1525</v>
      </c>
      <c r="M79">
        <v>4</v>
      </c>
      <c r="N79" t="s">
        <v>1528</v>
      </c>
      <c r="O79">
        <f t="shared" si="6"/>
        <v>2025</v>
      </c>
      <c r="P79">
        <f t="shared" si="7"/>
        <v>6</v>
      </c>
      <c r="Q79" s="3">
        <f t="shared" si="8"/>
        <v>5.5772813238770667</v>
      </c>
      <c r="R79">
        <f t="shared" si="9"/>
        <v>1</v>
      </c>
      <c r="S79" t="str">
        <f t="shared" si="10"/>
        <v>Normal</v>
      </c>
      <c r="U79" t="str">
        <f t="shared" si="11"/>
        <v>2025-06</v>
      </c>
    </row>
    <row r="80" spans="1:21" x14ac:dyDescent="0.35">
      <c r="A80" t="s">
        <v>92</v>
      </c>
      <c r="B80" t="s">
        <v>592</v>
      </c>
      <c r="C80" t="s">
        <v>1081</v>
      </c>
      <c r="D80" t="s">
        <v>1504</v>
      </c>
      <c r="E80" s="9" t="s">
        <v>1509</v>
      </c>
      <c r="F80" s="9" t="s">
        <v>1512</v>
      </c>
      <c r="G80" s="7">
        <v>45743</v>
      </c>
      <c r="H80" s="5">
        <v>112</v>
      </c>
      <c r="I80" s="3">
        <v>0</v>
      </c>
      <c r="J80" t="s">
        <v>1516</v>
      </c>
      <c r="K80" t="s">
        <v>1521</v>
      </c>
      <c r="L80" t="s">
        <v>1525</v>
      </c>
      <c r="M80">
        <v>21</v>
      </c>
      <c r="N80" t="s">
        <v>1528</v>
      </c>
      <c r="O80">
        <f t="shared" si="6"/>
        <v>2025</v>
      </c>
      <c r="P80">
        <f t="shared" si="7"/>
        <v>3</v>
      </c>
      <c r="Q80" s="3">
        <f t="shared" si="8"/>
        <v>5.5904976303317513</v>
      </c>
      <c r="R80">
        <f t="shared" si="9"/>
        <v>1</v>
      </c>
      <c r="S80" t="str">
        <f t="shared" si="10"/>
        <v>Normal</v>
      </c>
      <c r="U80" t="str">
        <f t="shared" si="11"/>
        <v>2025-03</v>
      </c>
    </row>
    <row r="81" spans="1:21" x14ac:dyDescent="0.35">
      <c r="A81" t="s">
        <v>93</v>
      </c>
      <c r="B81" t="s">
        <v>593</v>
      </c>
      <c r="C81" t="s">
        <v>1082</v>
      </c>
      <c r="D81" t="s">
        <v>1504</v>
      </c>
      <c r="E81" s="9" t="s">
        <v>1508</v>
      </c>
      <c r="F81" s="9" t="s">
        <v>1514</v>
      </c>
      <c r="G81" s="7">
        <v>45779</v>
      </c>
      <c r="H81" s="5">
        <v>175</v>
      </c>
      <c r="I81" s="3">
        <v>27.19</v>
      </c>
      <c r="J81" t="s">
        <v>1520</v>
      </c>
      <c r="K81" t="s">
        <v>1521</v>
      </c>
      <c r="L81" t="s">
        <v>1526</v>
      </c>
      <c r="M81">
        <v>1</v>
      </c>
      <c r="N81" t="s">
        <v>1527</v>
      </c>
      <c r="O81">
        <f t="shared" si="6"/>
        <v>2025</v>
      </c>
      <c r="P81">
        <f t="shared" si="7"/>
        <v>5</v>
      </c>
      <c r="Q81" s="3">
        <f t="shared" si="8"/>
        <v>5.6037767220902595</v>
      </c>
      <c r="R81">
        <f t="shared" si="9"/>
        <v>1</v>
      </c>
      <c r="S81" t="str">
        <f t="shared" si="10"/>
        <v>Suspicious</v>
      </c>
      <c r="U81" t="str">
        <f t="shared" si="11"/>
        <v>2025-05</v>
      </c>
    </row>
    <row r="82" spans="1:21" x14ac:dyDescent="0.35">
      <c r="A82" t="s">
        <v>94</v>
      </c>
      <c r="B82" t="s">
        <v>594</v>
      </c>
      <c r="C82" t="s">
        <v>1083</v>
      </c>
      <c r="D82" t="s">
        <v>1505</v>
      </c>
      <c r="E82" s="9" t="s">
        <v>1509</v>
      </c>
      <c r="F82" s="9" t="s">
        <v>1511</v>
      </c>
      <c r="G82" s="7">
        <v>45809</v>
      </c>
      <c r="H82" s="5">
        <v>60</v>
      </c>
      <c r="I82" s="3">
        <v>0</v>
      </c>
      <c r="J82" t="s">
        <v>1516</v>
      </c>
      <c r="K82" t="s">
        <v>1521</v>
      </c>
      <c r="L82" t="s">
        <v>1525</v>
      </c>
      <c r="M82">
        <v>44</v>
      </c>
      <c r="N82" t="s">
        <v>1528</v>
      </c>
      <c r="O82">
        <f t="shared" si="6"/>
        <v>2025</v>
      </c>
      <c r="P82">
        <f t="shared" si="7"/>
        <v>6</v>
      </c>
      <c r="Q82" s="3">
        <f t="shared" si="8"/>
        <v>5.5523809523809504</v>
      </c>
      <c r="R82">
        <f t="shared" si="9"/>
        <v>1</v>
      </c>
      <c r="S82" t="str">
        <f t="shared" si="10"/>
        <v>Normal</v>
      </c>
      <c r="U82" t="str">
        <f t="shared" si="11"/>
        <v>2025-06</v>
      </c>
    </row>
    <row r="83" spans="1:21" x14ac:dyDescent="0.35">
      <c r="A83" t="s">
        <v>95</v>
      </c>
      <c r="B83" t="s">
        <v>595</v>
      </c>
      <c r="C83" t="s">
        <v>1084</v>
      </c>
      <c r="D83" t="s">
        <v>1503</v>
      </c>
      <c r="E83" s="9" t="s">
        <v>1509</v>
      </c>
      <c r="F83" s="9" t="s">
        <v>1514</v>
      </c>
      <c r="G83" s="7">
        <v>45739</v>
      </c>
      <c r="H83" s="5">
        <v>144</v>
      </c>
      <c r="I83" s="3">
        <v>0</v>
      </c>
      <c r="J83" t="s">
        <v>1516</v>
      </c>
      <c r="K83" t="s">
        <v>1521</v>
      </c>
      <c r="L83" t="s">
        <v>1525</v>
      </c>
      <c r="M83">
        <v>35</v>
      </c>
      <c r="N83" t="s">
        <v>1528</v>
      </c>
      <c r="O83">
        <f t="shared" si="6"/>
        <v>2025</v>
      </c>
      <c r="P83">
        <f t="shared" si="7"/>
        <v>3</v>
      </c>
      <c r="Q83" s="3">
        <f t="shared" si="8"/>
        <v>5.5656324582338881</v>
      </c>
      <c r="R83">
        <f t="shared" si="9"/>
        <v>1</v>
      </c>
      <c r="S83" t="str">
        <f t="shared" si="10"/>
        <v>Normal</v>
      </c>
      <c r="U83" t="str">
        <f t="shared" si="11"/>
        <v>2025-03</v>
      </c>
    </row>
    <row r="84" spans="1:21" x14ac:dyDescent="0.35">
      <c r="A84" t="s">
        <v>96</v>
      </c>
      <c r="B84" t="s">
        <v>596</v>
      </c>
      <c r="C84" t="s">
        <v>1085</v>
      </c>
      <c r="D84" t="s">
        <v>1504</v>
      </c>
      <c r="E84" s="9" t="s">
        <v>1509</v>
      </c>
      <c r="F84" s="9" t="s">
        <v>1510</v>
      </c>
      <c r="G84" s="7">
        <v>45778</v>
      </c>
      <c r="H84" s="5">
        <v>47</v>
      </c>
      <c r="I84" s="3">
        <v>0</v>
      </c>
      <c r="J84" t="s">
        <v>1516</v>
      </c>
      <c r="K84" t="s">
        <v>1522</v>
      </c>
      <c r="L84" t="s">
        <v>1525</v>
      </c>
      <c r="M84">
        <v>50</v>
      </c>
      <c r="N84" t="s">
        <v>1528</v>
      </c>
      <c r="O84">
        <f t="shared" si="6"/>
        <v>2025</v>
      </c>
      <c r="P84">
        <f t="shared" si="7"/>
        <v>5</v>
      </c>
      <c r="Q84" s="3">
        <f t="shared" si="8"/>
        <v>5.5789473684210504</v>
      </c>
      <c r="R84">
        <f t="shared" si="9"/>
        <v>0</v>
      </c>
      <c r="S84" t="str">
        <f t="shared" si="10"/>
        <v>Normal</v>
      </c>
      <c r="U84" t="str">
        <f t="shared" si="11"/>
        <v>2025-05</v>
      </c>
    </row>
    <row r="85" spans="1:21" x14ac:dyDescent="0.35">
      <c r="A85" t="s">
        <v>97</v>
      </c>
      <c r="B85" t="s">
        <v>597</v>
      </c>
      <c r="C85" t="s">
        <v>1086</v>
      </c>
      <c r="D85" t="s">
        <v>1505</v>
      </c>
      <c r="E85" s="9" t="s">
        <v>1508</v>
      </c>
      <c r="F85" s="9" t="s">
        <v>1514</v>
      </c>
      <c r="G85" s="7">
        <v>45677</v>
      </c>
      <c r="H85" s="5">
        <v>53</v>
      </c>
      <c r="I85" s="3">
        <v>0</v>
      </c>
      <c r="J85" t="s">
        <v>1516</v>
      </c>
      <c r="K85" t="s">
        <v>1521</v>
      </c>
      <c r="L85" t="s">
        <v>1525</v>
      </c>
      <c r="M85">
        <v>4</v>
      </c>
      <c r="N85" t="s">
        <v>1528</v>
      </c>
      <c r="O85">
        <f t="shared" si="6"/>
        <v>2025</v>
      </c>
      <c r="P85">
        <f t="shared" si="7"/>
        <v>1</v>
      </c>
      <c r="Q85" s="3">
        <f t="shared" si="8"/>
        <v>5.5923261390887271</v>
      </c>
      <c r="R85">
        <f t="shared" si="9"/>
        <v>1</v>
      </c>
      <c r="S85" t="str">
        <f t="shared" si="10"/>
        <v>Normal</v>
      </c>
      <c r="U85" t="str">
        <f t="shared" si="11"/>
        <v>2025-01</v>
      </c>
    </row>
    <row r="86" spans="1:21" x14ac:dyDescent="0.35">
      <c r="A86" t="s">
        <v>98</v>
      </c>
      <c r="B86" t="s">
        <v>598</v>
      </c>
      <c r="C86" t="s">
        <v>1087</v>
      </c>
      <c r="D86" t="s">
        <v>1506</v>
      </c>
      <c r="E86" s="9" t="s">
        <v>1507</v>
      </c>
      <c r="F86" s="9" t="s">
        <v>1510</v>
      </c>
      <c r="G86" s="7">
        <v>45756</v>
      </c>
      <c r="H86" s="5">
        <v>43</v>
      </c>
      <c r="I86" s="3">
        <v>0</v>
      </c>
      <c r="J86" t="s">
        <v>1516</v>
      </c>
      <c r="K86" t="s">
        <v>1521</v>
      </c>
      <c r="L86" t="s">
        <v>1525</v>
      </c>
      <c r="M86">
        <v>20</v>
      </c>
      <c r="N86" t="s">
        <v>1528</v>
      </c>
      <c r="O86">
        <f t="shared" si="6"/>
        <v>2025</v>
      </c>
      <c r="P86">
        <f t="shared" si="7"/>
        <v>4</v>
      </c>
      <c r="Q86" s="3">
        <f t="shared" si="8"/>
        <v>5.6057692307692282</v>
      </c>
      <c r="R86">
        <f t="shared" si="9"/>
        <v>1</v>
      </c>
      <c r="S86" t="str">
        <f t="shared" si="10"/>
        <v>Normal</v>
      </c>
      <c r="U86" t="str">
        <f t="shared" si="11"/>
        <v>2025-04</v>
      </c>
    </row>
    <row r="87" spans="1:21" x14ac:dyDescent="0.35">
      <c r="A87" t="s">
        <v>99</v>
      </c>
      <c r="B87" t="s">
        <v>599</v>
      </c>
      <c r="C87" t="s">
        <v>1088</v>
      </c>
      <c r="D87" t="s">
        <v>1502</v>
      </c>
      <c r="E87" s="9" t="s">
        <v>1509</v>
      </c>
      <c r="F87" s="9" t="s">
        <v>1514</v>
      </c>
      <c r="G87" s="7">
        <v>45689</v>
      </c>
      <c r="H87" s="5">
        <v>11</v>
      </c>
      <c r="I87" s="3">
        <v>0</v>
      </c>
      <c r="J87" t="s">
        <v>1516</v>
      </c>
      <c r="K87" t="s">
        <v>1522</v>
      </c>
      <c r="L87" t="s">
        <v>1525</v>
      </c>
      <c r="M87">
        <v>18</v>
      </c>
      <c r="N87" t="s">
        <v>1528</v>
      </c>
      <c r="O87">
        <f t="shared" si="6"/>
        <v>2025</v>
      </c>
      <c r="P87">
        <f t="shared" si="7"/>
        <v>2</v>
      </c>
      <c r="Q87" s="3">
        <f t="shared" si="8"/>
        <v>5.6192771084337325</v>
      </c>
      <c r="R87">
        <f t="shared" si="9"/>
        <v>0</v>
      </c>
      <c r="S87" t="str">
        <f t="shared" si="10"/>
        <v>Normal</v>
      </c>
      <c r="U87" t="str">
        <f t="shared" si="11"/>
        <v>2025-02</v>
      </c>
    </row>
    <row r="88" spans="1:21" x14ac:dyDescent="0.35">
      <c r="A88" t="s">
        <v>100</v>
      </c>
      <c r="B88" t="s">
        <v>600</v>
      </c>
      <c r="C88" t="s">
        <v>1089</v>
      </c>
      <c r="D88" t="s">
        <v>1502</v>
      </c>
      <c r="E88" s="9" t="s">
        <v>1507</v>
      </c>
      <c r="F88" s="9" t="s">
        <v>1514</v>
      </c>
      <c r="G88" s="7">
        <v>45719</v>
      </c>
      <c r="H88" s="5">
        <v>100</v>
      </c>
      <c r="I88" s="3">
        <v>0</v>
      </c>
      <c r="J88" t="s">
        <v>1516</v>
      </c>
      <c r="K88" t="s">
        <v>1521</v>
      </c>
      <c r="L88" t="s">
        <v>1525</v>
      </c>
      <c r="M88">
        <v>50</v>
      </c>
      <c r="N88" t="s">
        <v>1528</v>
      </c>
      <c r="O88">
        <f t="shared" si="6"/>
        <v>2025</v>
      </c>
      <c r="P88">
        <f t="shared" si="7"/>
        <v>3</v>
      </c>
      <c r="Q88" s="3">
        <f t="shared" si="8"/>
        <v>5.6328502415458912</v>
      </c>
      <c r="R88">
        <f t="shared" si="9"/>
        <v>1</v>
      </c>
      <c r="S88" t="str">
        <f t="shared" si="10"/>
        <v>Normal</v>
      </c>
      <c r="U88" t="str">
        <f t="shared" si="11"/>
        <v>2025-03</v>
      </c>
    </row>
    <row r="89" spans="1:21" x14ac:dyDescent="0.35">
      <c r="A89" t="s">
        <v>101</v>
      </c>
      <c r="B89" t="s">
        <v>601</v>
      </c>
      <c r="C89" t="s">
        <v>1090</v>
      </c>
      <c r="D89" t="s">
        <v>1504</v>
      </c>
      <c r="E89" s="9" t="s">
        <v>1509</v>
      </c>
      <c r="F89" s="9" t="s">
        <v>1512</v>
      </c>
      <c r="G89" s="7">
        <v>45715</v>
      </c>
      <c r="H89" s="5">
        <v>54</v>
      </c>
      <c r="I89" s="3">
        <v>35.79</v>
      </c>
      <c r="J89" t="s">
        <v>1520</v>
      </c>
      <c r="K89" t="s">
        <v>1521</v>
      </c>
      <c r="L89" t="s">
        <v>1526</v>
      </c>
      <c r="M89">
        <v>42</v>
      </c>
      <c r="N89" t="s">
        <v>1528</v>
      </c>
      <c r="O89">
        <f t="shared" si="6"/>
        <v>2025</v>
      </c>
      <c r="P89">
        <f t="shared" si="7"/>
        <v>2</v>
      </c>
      <c r="Q89" s="3">
        <f t="shared" si="8"/>
        <v>5.6464891041162204</v>
      </c>
      <c r="R89">
        <f t="shared" si="9"/>
        <v>1</v>
      </c>
      <c r="S89" t="str">
        <f t="shared" si="10"/>
        <v>Normal</v>
      </c>
      <c r="U89" t="str">
        <f t="shared" si="11"/>
        <v>2025-02</v>
      </c>
    </row>
    <row r="90" spans="1:21" x14ac:dyDescent="0.35">
      <c r="A90" t="s">
        <v>102</v>
      </c>
      <c r="B90" t="s">
        <v>602</v>
      </c>
      <c r="C90" t="s">
        <v>1091</v>
      </c>
      <c r="D90" t="s">
        <v>1503</v>
      </c>
      <c r="E90" s="9" t="s">
        <v>1508</v>
      </c>
      <c r="F90" s="9" t="s">
        <v>1510</v>
      </c>
      <c r="G90" s="7">
        <v>45651</v>
      </c>
      <c r="H90" s="5">
        <v>92</v>
      </c>
      <c r="I90" s="3">
        <v>0</v>
      </c>
      <c r="J90" t="s">
        <v>1516</v>
      </c>
      <c r="K90" t="s">
        <v>1524</v>
      </c>
      <c r="L90" t="s">
        <v>1525</v>
      </c>
      <c r="M90">
        <v>21</v>
      </c>
      <c r="N90" t="s">
        <v>1528</v>
      </c>
      <c r="O90">
        <f t="shared" si="6"/>
        <v>2024</v>
      </c>
      <c r="P90">
        <f t="shared" si="7"/>
        <v>12</v>
      </c>
      <c r="Q90" s="3">
        <f t="shared" si="8"/>
        <v>5.5733252427184441</v>
      </c>
      <c r="R90">
        <f t="shared" si="9"/>
        <v>0</v>
      </c>
      <c r="S90" t="str">
        <f t="shared" si="10"/>
        <v>Normal</v>
      </c>
      <c r="U90" t="str">
        <f t="shared" si="11"/>
        <v>2024-12</v>
      </c>
    </row>
    <row r="91" spans="1:21" x14ac:dyDescent="0.35">
      <c r="A91" t="s">
        <v>103</v>
      </c>
      <c r="B91" t="s">
        <v>603</v>
      </c>
      <c r="C91" t="s">
        <v>1092</v>
      </c>
      <c r="D91" t="s">
        <v>1506</v>
      </c>
      <c r="E91" s="9" t="s">
        <v>1508</v>
      </c>
      <c r="F91" s="9" t="s">
        <v>1513</v>
      </c>
      <c r="G91" s="7">
        <v>45661</v>
      </c>
      <c r="H91" s="5">
        <v>115</v>
      </c>
      <c r="I91" s="3">
        <v>0</v>
      </c>
      <c r="J91" t="s">
        <v>1516</v>
      </c>
      <c r="K91" t="s">
        <v>1521</v>
      </c>
      <c r="L91" t="s">
        <v>1525</v>
      </c>
      <c r="M91">
        <v>17</v>
      </c>
      <c r="N91" t="s">
        <v>1528</v>
      </c>
      <c r="O91">
        <f t="shared" si="6"/>
        <v>2025</v>
      </c>
      <c r="P91">
        <f t="shared" si="7"/>
        <v>1</v>
      </c>
      <c r="Q91" s="3">
        <f t="shared" si="8"/>
        <v>5.586885644768854</v>
      </c>
      <c r="R91">
        <f t="shared" si="9"/>
        <v>1</v>
      </c>
      <c r="S91" t="str">
        <f t="shared" si="10"/>
        <v>Normal</v>
      </c>
      <c r="U91" t="str">
        <f t="shared" si="11"/>
        <v>2025-01</v>
      </c>
    </row>
    <row r="92" spans="1:21" x14ac:dyDescent="0.35">
      <c r="A92" t="s">
        <v>104</v>
      </c>
      <c r="B92" t="s">
        <v>604</v>
      </c>
      <c r="C92" t="s">
        <v>1093</v>
      </c>
      <c r="D92" t="s">
        <v>1505</v>
      </c>
      <c r="E92" s="9" t="s">
        <v>1507</v>
      </c>
      <c r="F92" s="9" t="s">
        <v>1515</v>
      </c>
      <c r="G92" s="7">
        <v>45809</v>
      </c>
      <c r="H92" s="5">
        <v>76</v>
      </c>
      <c r="I92" s="3">
        <v>0</v>
      </c>
      <c r="J92" t="s">
        <v>1516</v>
      </c>
      <c r="K92" t="s">
        <v>1521</v>
      </c>
      <c r="L92" t="s">
        <v>1525</v>
      </c>
      <c r="M92">
        <v>44</v>
      </c>
      <c r="N92" t="s">
        <v>1528</v>
      </c>
      <c r="O92">
        <f t="shared" si="6"/>
        <v>2025</v>
      </c>
      <c r="P92">
        <f t="shared" si="7"/>
        <v>6</v>
      </c>
      <c r="Q92" s="3">
        <f t="shared" si="8"/>
        <v>5.600512195121949</v>
      </c>
      <c r="R92">
        <f t="shared" si="9"/>
        <v>1</v>
      </c>
      <c r="S92" t="str">
        <f t="shared" si="10"/>
        <v>Normal</v>
      </c>
      <c r="U92" t="str">
        <f t="shared" si="11"/>
        <v>2025-06</v>
      </c>
    </row>
    <row r="93" spans="1:21" x14ac:dyDescent="0.35">
      <c r="A93" t="s">
        <v>105</v>
      </c>
      <c r="B93" t="s">
        <v>573</v>
      </c>
      <c r="C93" t="s">
        <v>1094</v>
      </c>
      <c r="D93" t="s">
        <v>1502</v>
      </c>
      <c r="E93" s="9" t="s">
        <v>1507</v>
      </c>
      <c r="F93" s="9" t="s">
        <v>1514</v>
      </c>
      <c r="G93" s="7">
        <v>45770</v>
      </c>
      <c r="H93" s="5">
        <v>81</v>
      </c>
      <c r="I93" s="3">
        <v>0</v>
      </c>
      <c r="J93" t="s">
        <v>1516</v>
      </c>
      <c r="K93" t="s">
        <v>1522</v>
      </c>
      <c r="L93" t="s">
        <v>1525</v>
      </c>
      <c r="M93">
        <v>46</v>
      </c>
      <c r="N93" t="s">
        <v>1528</v>
      </c>
      <c r="O93">
        <f t="shared" si="6"/>
        <v>2025</v>
      </c>
      <c r="P93">
        <f t="shared" si="7"/>
        <v>4</v>
      </c>
      <c r="Q93" s="3">
        <f t="shared" si="8"/>
        <v>5.6142053789731028</v>
      </c>
      <c r="R93">
        <f t="shared" si="9"/>
        <v>0</v>
      </c>
      <c r="S93" t="str">
        <f t="shared" si="10"/>
        <v>Normal</v>
      </c>
      <c r="U93" t="str">
        <f t="shared" si="11"/>
        <v>2025-04</v>
      </c>
    </row>
    <row r="94" spans="1:21" x14ac:dyDescent="0.35">
      <c r="A94" t="s">
        <v>106</v>
      </c>
      <c r="B94" t="s">
        <v>605</v>
      </c>
      <c r="C94" t="s">
        <v>1095</v>
      </c>
      <c r="D94" t="s">
        <v>1502</v>
      </c>
      <c r="E94" s="9" t="s">
        <v>1508</v>
      </c>
      <c r="F94" s="9" t="s">
        <v>1512</v>
      </c>
      <c r="G94" s="7">
        <v>45646</v>
      </c>
      <c r="H94" s="5">
        <v>154</v>
      </c>
      <c r="I94" s="3">
        <v>0</v>
      </c>
      <c r="J94" t="s">
        <v>1516</v>
      </c>
      <c r="K94" t="s">
        <v>1521</v>
      </c>
      <c r="L94" t="s">
        <v>1525</v>
      </c>
      <c r="M94">
        <v>11</v>
      </c>
      <c r="N94" t="s">
        <v>1527</v>
      </c>
      <c r="O94">
        <f t="shared" si="6"/>
        <v>2024</v>
      </c>
      <c r="P94">
        <f t="shared" si="7"/>
        <v>12</v>
      </c>
      <c r="Q94" s="3">
        <f t="shared" si="8"/>
        <v>5.627965686274508</v>
      </c>
      <c r="R94">
        <f t="shared" si="9"/>
        <v>1</v>
      </c>
      <c r="S94" t="str">
        <f t="shared" si="10"/>
        <v>Normal</v>
      </c>
      <c r="U94" t="str">
        <f t="shared" si="11"/>
        <v>2024-12</v>
      </c>
    </row>
    <row r="95" spans="1:21" x14ac:dyDescent="0.35">
      <c r="A95" t="s">
        <v>107</v>
      </c>
      <c r="B95" t="s">
        <v>606</v>
      </c>
      <c r="C95" t="s">
        <v>1096</v>
      </c>
      <c r="D95" t="s">
        <v>1504</v>
      </c>
      <c r="E95" s="9" t="s">
        <v>1507</v>
      </c>
      <c r="F95" s="9" t="s">
        <v>1513</v>
      </c>
      <c r="G95" s="7">
        <v>45731</v>
      </c>
      <c r="H95" s="5">
        <v>143</v>
      </c>
      <c r="I95" s="3">
        <v>0</v>
      </c>
      <c r="J95" t="s">
        <v>1516</v>
      </c>
      <c r="K95" t="s">
        <v>1523</v>
      </c>
      <c r="L95" t="s">
        <v>1525</v>
      </c>
      <c r="M95">
        <v>10</v>
      </c>
      <c r="N95" t="s">
        <v>1528</v>
      </c>
      <c r="O95">
        <f t="shared" si="6"/>
        <v>2025</v>
      </c>
      <c r="P95">
        <f t="shared" si="7"/>
        <v>3</v>
      </c>
      <c r="Q95" s="3">
        <f t="shared" si="8"/>
        <v>5.6417936117936094</v>
      </c>
      <c r="R95">
        <f t="shared" si="9"/>
        <v>0</v>
      </c>
      <c r="S95" t="str">
        <f t="shared" si="10"/>
        <v>Normal</v>
      </c>
      <c r="U95" t="str">
        <f t="shared" si="11"/>
        <v>2025-03</v>
      </c>
    </row>
    <row r="96" spans="1:21" x14ac:dyDescent="0.35">
      <c r="A96" t="s">
        <v>108</v>
      </c>
      <c r="B96" t="s">
        <v>607</v>
      </c>
      <c r="C96" t="s">
        <v>1097</v>
      </c>
      <c r="D96" t="s">
        <v>1505</v>
      </c>
      <c r="E96" s="9" t="s">
        <v>1509</v>
      </c>
      <c r="F96" s="9" t="s">
        <v>1514</v>
      </c>
      <c r="G96" s="7">
        <v>45779</v>
      </c>
      <c r="H96" s="5">
        <v>123</v>
      </c>
      <c r="I96" s="3">
        <v>26.85</v>
      </c>
      <c r="J96" t="s">
        <v>1519</v>
      </c>
      <c r="K96" t="s">
        <v>1522</v>
      </c>
      <c r="L96" t="s">
        <v>1526</v>
      </c>
      <c r="M96">
        <v>32</v>
      </c>
      <c r="N96" t="s">
        <v>1528</v>
      </c>
      <c r="O96">
        <f t="shared" si="6"/>
        <v>2025</v>
      </c>
      <c r="P96">
        <f t="shared" si="7"/>
        <v>5</v>
      </c>
      <c r="Q96" s="3">
        <f t="shared" si="8"/>
        <v>5.6556896551724121</v>
      </c>
      <c r="R96">
        <f t="shared" si="9"/>
        <v>0</v>
      </c>
      <c r="S96" t="str">
        <f t="shared" si="10"/>
        <v>Normal</v>
      </c>
      <c r="U96" t="str">
        <f t="shared" si="11"/>
        <v>2025-05</v>
      </c>
    </row>
    <row r="97" spans="1:21" x14ac:dyDescent="0.35">
      <c r="A97" t="s">
        <v>109</v>
      </c>
      <c r="B97" t="s">
        <v>608</v>
      </c>
      <c r="C97" t="s">
        <v>1098</v>
      </c>
      <c r="D97" t="s">
        <v>1504</v>
      </c>
      <c r="E97" s="9" t="s">
        <v>1507</v>
      </c>
      <c r="F97" s="9" t="s">
        <v>1511</v>
      </c>
      <c r="G97" s="7">
        <v>45712</v>
      </c>
      <c r="H97" s="5">
        <v>158</v>
      </c>
      <c r="I97" s="3">
        <v>0</v>
      </c>
      <c r="J97" t="s">
        <v>1516</v>
      </c>
      <c r="K97" t="s">
        <v>1521</v>
      </c>
      <c r="L97" t="s">
        <v>1526</v>
      </c>
      <c r="M97">
        <v>17</v>
      </c>
      <c r="N97" t="s">
        <v>1527</v>
      </c>
      <c r="O97">
        <f t="shared" si="6"/>
        <v>2025</v>
      </c>
      <c r="P97">
        <f t="shared" si="7"/>
        <v>2</v>
      </c>
      <c r="Q97" s="3">
        <f t="shared" si="8"/>
        <v>5.6033580246913557</v>
      </c>
      <c r="R97">
        <f t="shared" si="9"/>
        <v>1</v>
      </c>
      <c r="S97" t="str">
        <f t="shared" si="10"/>
        <v>Normal</v>
      </c>
      <c r="U97" t="str">
        <f t="shared" si="11"/>
        <v>2025-02</v>
      </c>
    </row>
    <row r="98" spans="1:21" x14ac:dyDescent="0.35">
      <c r="A98" t="s">
        <v>110</v>
      </c>
      <c r="B98" t="s">
        <v>609</v>
      </c>
      <c r="C98" t="s">
        <v>1099</v>
      </c>
      <c r="D98" t="s">
        <v>1503</v>
      </c>
      <c r="E98" s="9" t="s">
        <v>1509</v>
      </c>
      <c r="F98" s="9" t="s">
        <v>1515</v>
      </c>
      <c r="G98" s="7">
        <v>45710</v>
      </c>
      <c r="H98" s="5">
        <v>122</v>
      </c>
      <c r="I98" s="3">
        <v>0</v>
      </c>
      <c r="J98" t="s">
        <v>1516</v>
      </c>
      <c r="K98" t="s">
        <v>1521</v>
      </c>
      <c r="L98" t="s">
        <v>1525</v>
      </c>
      <c r="M98">
        <v>9</v>
      </c>
      <c r="N98" t="s">
        <v>1528</v>
      </c>
      <c r="O98">
        <f t="shared" si="6"/>
        <v>2025</v>
      </c>
      <c r="P98">
        <f t="shared" si="7"/>
        <v>2</v>
      </c>
      <c r="Q98" s="3">
        <f t="shared" si="8"/>
        <v>5.6172277227722756</v>
      </c>
      <c r="R98">
        <f t="shared" si="9"/>
        <v>1</v>
      </c>
      <c r="S98" t="str">
        <f t="shared" si="10"/>
        <v>Normal</v>
      </c>
      <c r="U98" t="str">
        <f t="shared" si="11"/>
        <v>2025-02</v>
      </c>
    </row>
    <row r="99" spans="1:21" x14ac:dyDescent="0.35">
      <c r="A99" t="s">
        <v>111</v>
      </c>
      <c r="B99" t="s">
        <v>610</v>
      </c>
      <c r="C99" t="s">
        <v>1100</v>
      </c>
      <c r="D99" t="s">
        <v>1504</v>
      </c>
      <c r="E99" s="9" t="s">
        <v>1507</v>
      </c>
      <c r="F99" s="9" t="s">
        <v>1513</v>
      </c>
      <c r="G99" s="7">
        <v>45646</v>
      </c>
      <c r="H99" s="5">
        <v>164</v>
      </c>
      <c r="I99" s="3">
        <v>0</v>
      </c>
      <c r="J99" t="s">
        <v>1516</v>
      </c>
      <c r="K99" t="s">
        <v>1521</v>
      </c>
      <c r="L99" t="s">
        <v>1526</v>
      </c>
      <c r="M99">
        <v>19</v>
      </c>
      <c r="N99" t="s">
        <v>1527</v>
      </c>
      <c r="O99">
        <f t="shared" si="6"/>
        <v>2024</v>
      </c>
      <c r="P99">
        <f t="shared" si="7"/>
        <v>12</v>
      </c>
      <c r="Q99" s="3">
        <f t="shared" si="8"/>
        <v>5.6311662531017355</v>
      </c>
      <c r="R99">
        <f t="shared" si="9"/>
        <v>1</v>
      </c>
      <c r="S99" t="str">
        <f t="shared" si="10"/>
        <v>Normal</v>
      </c>
      <c r="U99" t="str">
        <f t="shared" si="11"/>
        <v>2024-12</v>
      </c>
    </row>
    <row r="100" spans="1:21" x14ac:dyDescent="0.35">
      <c r="A100" t="s">
        <v>112</v>
      </c>
      <c r="B100" t="s">
        <v>611</v>
      </c>
      <c r="C100" t="s">
        <v>1101</v>
      </c>
      <c r="D100" t="s">
        <v>1506</v>
      </c>
      <c r="E100" s="9" t="s">
        <v>1507</v>
      </c>
      <c r="F100" s="9" t="s">
        <v>1510</v>
      </c>
      <c r="G100" s="7">
        <v>45738</v>
      </c>
      <c r="H100" s="5">
        <v>173</v>
      </c>
      <c r="I100" s="3">
        <v>0</v>
      </c>
      <c r="J100" t="s">
        <v>1516</v>
      </c>
      <c r="K100" t="s">
        <v>1521</v>
      </c>
      <c r="L100" t="s">
        <v>1525</v>
      </c>
      <c r="M100">
        <v>37</v>
      </c>
      <c r="N100" t="s">
        <v>1527</v>
      </c>
      <c r="O100">
        <f t="shared" si="6"/>
        <v>2025</v>
      </c>
      <c r="P100">
        <f t="shared" si="7"/>
        <v>3</v>
      </c>
      <c r="Q100" s="3">
        <f t="shared" si="8"/>
        <v>5.645174129353232</v>
      </c>
      <c r="R100">
        <f t="shared" si="9"/>
        <v>1</v>
      </c>
      <c r="S100" t="str">
        <f t="shared" si="10"/>
        <v>Suspicious</v>
      </c>
      <c r="U100" t="str">
        <f t="shared" si="11"/>
        <v>2025-03</v>
      </c>
    </row>
    <row r="101" spans="1:21" x14ac:dyDescent="0.35">
      <c r="A101" t="s">
        <v>113</v>
      </c>
      <c r="B101" t="s">
        <v>612</v>
      </c>
      <c r="C101" t="s">
        <v>1102</v>
      </c>
      <c r="D101" t="s">
        <v>1506</v>
      </c>
      <c r="E101" s="9" t="s">
        <v>1507</v>
      </c>
      <c r="F101" s="9" t="s">
        <v>1510</v>
      </c>
      <c r="G101" s="7">
        <v>45787</v>
      </c>
      <c r="H101" s="5">
        <v>107</v>
      </c>
      <c r="I101" s="3">
        <v>0</v>
      </c>
      <c r="J101" t="s">
        <v>1516</v>
      </c>
      <c r="K101" t="s">
        <v>1524</v>
      </c>
      <c r="L101" t="s">
        <v>1525</v>
      </c>
      <c r="M101">
        <v>13</v>
      </c>
      <c r="N101" t="s">
        <v>1528</v>
      </c>
      <c r="O101">
        <f t="shared" si="6"/>
        <v>2025</v>
      </c>
      <c r="P101">
        <f t="shared" si="7"/>
        <v>5</v>
      </c>
      <c r="Q101" s="3">
        <f t="shared" si="8"/>
        <v>5.6592518703241872</v>
      </c>
      <c r="R101">
        <f t="shared" si="9"/>
        <v>0</v>
      </c>
      <c r="S101" t="str">
        <f t="shared" si="10"/>
        <v>Normal</v>
      </c>
      <c r="U101" t="str">
        <f t="shared" si="11"/>
        <v>2025-05</v>
      </c>
    </row>
    <row r="102" spans="1:21" x14ac:dyDescent="0.35">
      <c r="A102" t="s">
        <v>114</v>
      </c>
      <c r="B102" t="s">
        <v>613</v>
      </c>
      <c r="C102" t="s">
        <v>1103</v>
      </c>
      <c r="D102" t="s">
        <v>1502</v>
      </c>
      <c r="E102" s="9" t="s">
        <v>1508</v>
      </c>
      <c r="F102" s="9" t="s">
        <v>1512</v>
      </c>
      <c r="G102" s="7">
        <v>45750</v>
      </c>
      <c r="H102" s="5">
        <v>34</v>
      </c>
      <c r="I102" s="3">
        <v>15.26</v>
      </c>
      <c r="J102" t="s">
        <v>1520</v>
      </c>
      <c r="K102" t="s">
        <v>1521</v>
      </c>
      <c r="L102" t="s">
        <v>1526</v>
      </c>
      <c r="M102">
        <v>11</v>
      </c>
      <c r="N102" t="s">
        <v>1528</v>
      </c>
      <c r="O102">
        <f t="shared" si="6"/>
        <v>2025</v>
      </c>
      <c r="P102">
        <f t="shared" si="7"/>
        <v>4</v>
      </c>
      <c r="Q102" s="3">
        <f t="shared" si="8"/>
        <v>5.6733999999999982</v>
      </c>
      <c r="R102">
        <f t="shared" si="9"/>
        <v>1</v>
      </c>
      <c r="S102" t="str">
        <f t="shared" si="10"/>
        <v>Normal</v>
      </c>
      <c r="U102" t="str">
        <f t="shared" si="11"/>
        <v>2025-04</v>
      </c>
    </row>
    <row r="103" spans="1:21" x14ac:dyDescent="0.35">
      <c r="A103" t="s">
        <v>115</v>
      </c>
      <c r="B103" t="s">
        <v>614</v>
      </c>
      <c r="C103" t="s">
        <v>1104</v>
      </c>
      <c r="D103" t="s">
        <v>1503</v>
      </c>
      <c r="E103" s="9" t="s">
        <v>1508</v>
      </c>
      <c r="F103" s="9" t="s">
        <v>1510</v>
      </c>
      <c r="G103" s="7">
        <v>45677</v>
      </c>
      <c r="H103" s="5">
        <v>180</v>
      </c>
      <c r="I103" s="3">
        <v>0</v>
      </c>
      <c r="J103" t="s">
        <v>1516</v>
      </c>
      <c r="K103" t="s">
        <v>1521</v>
      </c>
      <c r="L103" t="s">
        <v>1525</v>
      </c>
      <c r="M103">
        <v>28</v>
      </c>
      <c r="N103" t="s">
        <v>1527</v>
      </c>
      <c r="O103">
        <f t="shared" si="6"/>
        <v>2025</v>
      </c>
      <c r="P103">
        <f t="shared" si="7"/>
        <v>1</v>
      </c>
      <c r="Q103" s="3">
        <f t="shared" si="8"/>
        <v>5.6493734335839587</v>
      </c>
      <c r="R103">
        <f t="shared" si="9"/>
        <v>1</v>
      </c>
      <c r="S103" t="str">
        <f t="shared" si="10"/>
        <v>Suspicious</v>
      </c>
      <c r="U103" t="str">
        <f t="shared" si="11"/>
        <v>2025-01</v>
      </c>
    </row>
    <row r="104" spans="1:21" x14ac:dyDescent="0.35">
      <c r="A104" t="s">
        <v>116</v>
      </c>
      <c r="B104" t="s">
        <v>615</v>
      </c>
      <c r="C104" t="s">
        <v>1105</v>
      </c>
      <c r="D104" t="s">
        <v>1506</v>
      </c>
      <c r="E104" s="9" t="s">
        <v>1508</v>
      </c>
      <c r="F104" s="9" t="s">
        <v>1513</v>
      </c>
      <c r="G104" s="7">
        <v>45668</v>
      </c>
      <c r="H104" s="5">
        <v>41</v>
      </c>
      <c r="I104" s="3">
        <v>0</v>
      </c>
      <c r="J104" t="s">
        <v>1516</v>
      </c>
      <c r="K104" t="s">
        <v>1523</v>
      </c>
      <c r="L104" t="s">
        <v>1525</v>
      </c>
      <c r="M104">
        <v>47</v>
      </c>
      <c r="N104" t="s">
        <v>1528</v>
      </c>
      <c r="O104">
        <f t="shared" si="6"/>
        <v>2025</v>
      </c>
      <c r="P104">
        <f t="shared" si="7"/>
        <v>1</v>
      </c>
      <c r="Q104" s="3">
        <f t="shared" si="8"/>
        <v>5.6635678391959789</v>
      </c>
      <c r="R104">
        <f t="shared" si="9"/>
        <v>0</v>
      </c>
      <c r="S104" t="str">
        <f t="shared" si="10"/>
        <v>Normal</v>
      </c>
      <c r="U104" t="str">
        <f t="shared" si="11"/>
        <v>2025-01</v>
      </c>
    </row>
    <row r="105" spans="1:21" x14ac:dyDescent="0.35">
      <c r="A105" t="s">
        <v>117</v>
      </c>
      <c r="B105" t="s">
        <v>616</v>
      </c>
      <c r="C105" t="s">
        <v>1106</v>
      </c>
      <c r="D105" t="s">
        <v>1506</v>
      </c>
      <c r="E105" s="9" t="s">
        <v>1507</v>
      </c>
      <c r="F105" s="9" t="s">
        <v>1515</v>
      </c>
      <c r="G105" s="7">
        <v>45795</v>
      </c>
      <c r="H105" s="5">
        <v>90</v>
      </c>
      <c r="I105" s="3">
        <v>0</v>
      </c>
      <c r="J105" t="s">
        <v>1516</v>
      </c>
      <c r="K105" t="s">
        <v>1521</v>
      </c>
      <c r="L105" t="s">
        <v>1525</v>
      </c>
      <c r="M105">
        <v>3</v>
      </c>
      <c r="N105" t="s">
        <v>1528</v>
      </c>
      <c r="O105">
        <f t="shared" si="6"/>
        <v>2025</v>
      </c>
      <c r="P105">
        <f t="shared" si="7"/>
        <v>5</v>
      </c>
      <c r="Q105" s="3">
        <f t="shared" si="8"/>
        <v>5.6778337531486134</v>
      </c>
      <c r="R105">
        <f t="shared" si="9"/>
        <v>1</v>
      </c>
      <c r="S105" t="str">
        <f t="shared" si="10"/>
        <v>Normal</v>
      </c>
      <c r="U105" t="str">
        <f t="shared" si="11"/>
        <v>2025-05</v>
      </c>
    </row>
    <row r="106" spans="1:21" x14ac:dyDescent="0.35">
      <c r="A106" t="s">
        <v>118</v>
      </c>
      <c r="B106" t="s">
        <v>617</v>
      </c>
      <c r="C106" t="s">
        <v>1107</v>
      </c>
      <c r="D106" t="s">
        <v>1505</v>
      </c>
      <c r="E106" s="9" t="s">
        <v>1507</v>
      </c>
      <c r="F106" s="9" t="s">
        <v>1511</v>
      </c>
      <c r="G106" s="7">
        <v>45799</v>
      </c>
      <c r="H106" s="5">
        <v>64</v>
      </c>
      <c r="I106" s="3">
        <v>0</v>
      </c>
      <c r="J106" t="s">
        <v>1516</v>
      </c>
      <c r="K106" t="s">
        <v>1521</v>
      </c>
      <c r="L106" t="s">
        <v>1525</v>
      </c>
      <c r="M106">
        <v>50</v>
      </c>
      <c r="N106" t="s">
        <v>1528</v>
      </c>
      <c r="O106">
        <f t="shared" si="6"/>
        <v>2025</v>
      </c>
      <c r="P106">
        <f t="shared" si="7"/>
        <v>5</v>
      </c>
      <c r="Q106" s="3">
        <f t="shared" si="8"/>
        <v>5.6921717171717159</v>
      </c>
      <c r="R106">
        <f t="shared" si="9"/>
        <v>1</v>
      </c>
      <c r="S106" t="str">
        <f t="shared" si="10"/>
        <v>Normal</v>
      </c>
      <c r="U106" t="str">
        <f t="shared" si="11"/>
        <v>2025-05</v>
      </c>
    </row>
    <row r="107" spans="1:21" x14ac:dyDescent="0.35">
      <c r="A107" t="s">
        <v>119</v>
      </c>
      <c r="B107" t="s">
        <v>618</v>
      </c>
      <c r="C107" t="s">
        <v>1108</v>
      </c>
      <c r="D107" t="s">
        <v>1502</v>
      </c>
      <c r="E107" s="9" t="s">
        <v>1508</v>
      </c>
      <c r="F107" s="9" t="s">
        <v>1511</v>
      </c>
      <c r="G107" s="7">
        <v>45685</v>
      </c>
      <c r="H107" s="5">
        <v>101</v>
      </c>
      <c r="I107" s="3">
        <v>0</v>
      </c>
      <c r="J107" t="s">
        <v>1516</v>
      </c>
      <c r="K107" t="s">
        <v>1521</v>
      </c>
      <c r="L107" t="s">
        <v>1525</v>
      </c>
      <c r="M107">
        <v>6</v>
      </c>
      <c r="N107" t="s">
        <v>1528</v>
      </c>
      <c r="O107">
        <f t="shared" si="6"/>
        <v>2025</v>
      </c>
      <c r="P107">
        <f t="shared" si="7"/>
        <v>1</v>
      </c>
      <c r="Q107" s="3">
        <f t="shared" si="8"/>
        <v>5.7065822784810116</v>
      </c>
      <c r="R107">
        <f t="shared" si="9"/>
        <v>1</v>
      </c>
      <c r="S107" t="str">
        <f t="shared" si="10"/>
        <v>Normal</v>
      </c>
      <c r="U107" t="str">
        <f t="shared" si="11"/>
        <v>2025-01</v>
      </c>
    </row>
    <row r="108" spans="1:21" x14ac:dyDescent="0.35">
      <c r="A108" t="s">
        <v>120</v>
      </c>
      <c r="B108" t="s">
        <v>619</v>
      </c>
      <c r="C108" t="s">
        <v>1109</v>
      </c>
      <c r="D108" t="s">
        <v>1502</v>
      </c>
      <c r="E108" s="9" t="s">
        <v>1509</v>
      </c>
      <c r="F108" s="9" t="s">
        <v>1512</v>
      </c>
      <c r="G108" s="7">
        <v>45762</v>
      </c>
      <c r="H108" s="5">
        <v>21</v>
      </c>
      <c r="I108" s="3">
        <v>36.340000000000003</v>
      </c>
      <c r="J108" t="s">
        <v>1518</v>
      </c>
      <c r="K108" t="s">
        <v>1521</v>
      </c>
      <c r="L108" t="s">
        <v>1526</v>
      </c>
      <c r="M108">
        <v>24</v>
      </c>
      <c r="N108" t="s">
        <v>1528</v>
      </c>
      <c r="O108">
        <f t="shared" si="6"/>
        <v>2025</v>
      </c>
      <c r="P108">
        <f t="shared" si="7"/>
        <v>4</v>
      </c>
      <c r="Q108" s="3">
        <f t="shared" si="8"/>
        <v>5.7210659898477143</v>
      </c>
      <c r="R108">
        <f t="shared" si="9"/>
        <v>1</v>
      </c>
      <c r="S108" t="str">
        <f t="shared" si="10"/>
        <v>Normal</v>
      </c>
      <c r="U108" t="str">
        <f t="shared" si="11"/>
        <v>2025-04</v>
      </c>
    </row>
    <row r="109" spans="1:21" x14ac:dyDescent="0.35">
      <c r="A109" t="s">
        <v>121</v>
      </c>
      <c r="B109" t="s">
        <v>526</v>
      </c>
      <c r="C109" t="s">
        <v>1110</v>
      </c>
      <c r="D109" t="s">
        <v>1506</v>
      </c>
      <c r="E109" s="9" t="s">
        <v>1507</v>
      </c>
      <c r="F109" s="9" t="s">
        <v>1515</v>
      </c>
      <c r="G109" s="7">
        <v>45747</v>
      </c>
      <c r="H109" s="5">
        <v>153</v>
      </c>
      <c r="I109" s="3">
        <v>0</v>
      </c>
      <c r="J109" t="s">
        <v>1516</v>
      </c>
      <c r="K109" t="s">
        <v>1522</v>
      </c>
      <c r="L109" t="s">
        <v>1525</v>
      </c>
      <c r="M109">
        <v>25</v>
      </c>
      <c r="N109" t="s">
        <v>1527</v>
      </c>
      <c r="O109">
        <f t="shared" si="6"/>
        <v>2025</v>
      </c>
      <c r="P109">
        <f t="shared" si="7"/>
        <v>3</v>
      </c>
      <c r="Q109" s="3">
        <f t="shared" si="8"/>
        <v>5.6431552162849856</v>
      </c>
      <c r="R109">
        <f t="shared" si="9"/>
        <v>0</v>
      </c>
      <c r="S109" t="str">
        <f t="shared" si="10"/>
        <v>Normal</v>
      </c>
      <c r="U109" t="str">
        <f t="shared" si="11"/>
        <v>2025-03</v>
      </c>
    </row>
    <row r="110" spans="1:21" x14ac:dyDescent="0.35">
      <c r="A110" t="s">
        <v>122</v>
      </c>
      <c r="B110" t="s">
        <v>620</v>
      </c>
      <c r="C110" t="s">
        <v>1111</v>
      </c>
      <c r="D110" t="s">
        <v>1506</v>
      </c>
      <c r="E110" s="9" t="s">
        <v>1509</v>
      </c>
      <c r="F110" s="9" t="s">
        <v>1513</v>
      </c>
      <c r="G110" s="7">
        <v>45819</v>
      </c>
      <c r="H110" s="5">
        <v>153</v>
      </c>
      <c r="I110" s="3">
        <v>0</v>
      </c>
      <c r="J110" t="s">
        <v>1516</v>
      </c>
      <c r="K110" t="s">
        <v>1521</v>
      </c>
      <c r="L110" t="s">
        <v>1525</v>
      </c>
      <c r="M110">
        <v>48</v>
      </c>
      <c r="N110" t="s">
        <v>1527</v>
      </c>
      <c r="O110">
        <f t="shared" si="6"/>
        <v>2025</v>
      </c>
      <c r="P110">
        <f t="shared" si="7"/>
        <v>6</v>
      </c>
      <c r="Q110" s="3">
        <f t="shared" si="8"/>
        <v>5.6575510204081612</v>
      </c>
      <c r="R110">
        <f t="shared" si="9"/>
        <v>1</v>
      </c>
      <c r="S110" t="str">
        <f t="shared" si="10"/>
        <v>Normal</v>
      </c>
      <c r="U110" t="str">
        <f t="shared" si="11"/>
        <v>2025-06</v>
      </c>
    </row>
    <row r="111" spans="1:21" x14ac:dyDescent="0.35">
      <c r="A111" t="s">
        <v>123</v>
      </c>
      <c r="B111" t="s">
        <v>621</v>
      </c>
      <c r="C111" t="s">
        <v>1112</v>
      </c>
      <c r="D111" t="s">
        <v>1502</v>
      </c>
      <c r="E111" s="9" t="s">
        <v>1509</v>
      </c>
      <c r="F111" s="9" t="s">
        <v>1512</v>
      </c>
      <c r="G111" s="7">
        <v>45798</v>
      </c>
      <c r="H111" s="5">
        <v>164</v>
      </c>
      <c r="I111" s="3">
        <v>0</v>
      </c>
      <c r="J111" t="s">
        <v>1516</v>
      </c>
      <c r="K111" t="s">
        <v>1522</v>
      </c>
      <c r="L111" t="s">
        <v>1526</v>
      </c>
      <c r="M111">
        <v>39</v>
      </c>
      <c r="N111" t="s">
        <v>1527</v>
      </c>
      <c r="O111">
        <f t="shared" si="6"/>
        <v>2025</v>
      </c>
      <c r="P111">
        <f t="shared" si="7"/>
        <v>5</v>
      </c>
      <c r="Q111" s="3">
        <f t="shared" si="8"/>
        <v>5.6720204603580546</v>
      </c>
      <c r="R111">
        <f t="shared" si="9"/>
        <v>0</v>
      </c>
      <c r="S111" t="str">
        <f t="shared" si="10"/>
        <v>Normal</v>
      </c>
      <c r="U111" t="str">
        <f t="shared" si="11"/>
        <v>2025-05</v>
      </c>
    </row>
    <row r="112" spans="1:21" x14ac:dyDescent="0.35">
      <c r="A112" t="s">
        <v>124</v>
      </c>
      <c r="B112" t="s">
        <v>622</v>
      </c>
      <c r="C112" t="s">
        <v>1113</v>
      </c>
      <c r="D112" t="s">
        <v>1502</v>
      </c>
      <c r="E112" s="9" t="s">
        <v>1509</v>
      </c>
      <c r="F112" s="9" t="s">
        <v>1511</v>
      </c>
      <c r="G112" s="7">
        <v>45656</v>
      </c>
      <c r="H112" s="5">
        <v>165</v>
      </c>
      <c r="I112" s="3">
        <v>0</v>
      </c>
      <c r="J112" t="s">
        <v>1516</v>
      </c>
      <c r="K112" t="s">
        <v>1522</v>
      </c>
      <c r="L112" t="s">
        <v>1525</v>
      </c>
      <c r="M112">
        <v>48</v>
      </c>
      <c r="N112" t="s">
        <v>1527</v>
      </c>
      <c r="O112">
        <f t="shared" si="6"/>
        <v>2024</v>
      </c>
      <c r="P112">
        <f t="shared" si="7"/>
        <v>12</v>
      </c>
      <c r="Q112" s="3">
        <f t="shared" si="8"/>
        <v>5.6865641025641009</v>
      </c>
      <c r="R112">
        <f t="shared" si="9"/>
        <v>0</v>
      </c>
      <c r="S112" t="str">
        <f t="shared" si="10"/>
        <v>Normal</v>
      </c>
      <c r="U112" t="str">
        <f t="shared" si="11"/>
        <v>2024-12</v>
      </c>
    </row>
    <row r="113" spans="1:21" x14ac:dyDescent="0.35">
      <c r="A113" t="s">
        <v>125</v>
      </c>
      <c r="B113" t="s">
        <v>623</v>
      </c>
      <c r="C113" t="s">
        <v>1114</v>
      </c>
      <c r="D113" t="s">
        <v>1502</v>
      </c>
      <c r="E113" s="9" t="s">
        <v>1508</v>
      </c>
      <c r="F113" s="9" t="s">
        <v>1511</v>
      </c>
      <c r="G113" s="7">
        <v>45802</v>
      </c>
      <c r="H113" s="5">
        <v>172</v>
      </c>
      <c r="I113" s="3">
        <v>0</v>
      </c>
      <c r="J113" t="s">
        <v>1516</v>
      </c>
      <c r="K113" t="s">
        <v>1521</v>
      </c>
      <c r="L113" t="s">
        <v>1525</v>
      </c>
      <c r="M113">
        <v>50</v>
      </c>
      <c r="N113" t="s">
        <v>1527</v>
      </c>
      <c r="O113">
        <f t="shared" si="6"/>
        <v>2025</v>
      </c>
      <c r="P113">
        <f t="shared" si="7"/>
        <v>5</v>
      </c>
      <c r="Q113" s="3">
        <f t="shared" si="8"/>
        <v>5.7011825192802039</v>
      </c>
      <c r="R113">
        <f t="shared" si="9"/>
        <v>1</v>
      </c>
      <c r="S113" t="str">
        <f t="shared" si="10"/>
        <v>Normal</v>
      </c>
      <c r="U113" t="str">
        <f t="shared" si="11"/>
        <v>2025-05</v>
      </c>
    </row>
    <row r="114" spans="1:21" x14ac:dyDescent="0.35">
      <c r="A114" t="s">
        <v>126</v>
      </c>
      <c r="B114" t="s">
        <v>624</v>
      </c>
      <c r="C114" t="s">
        <v>1115</v>
      </c>
      <c r="D114" t="s">
        <v>1502</v>
      </c>
      <c r="E114" s="9" t="s">
        <v>1509</v>
      </c>
      <c r="F114" s="9" t="s">
        <v>1512</v>
      </c>
      <c r="G114" s="7">
        <v>45715</v>
      </c>
      <c r="H114" s="5">
        <v>33</v>
      </c>
      <c r="I114" s="3">
        <v>0</v>
      </c>
      <c r="J114" t="s">
        <v>1516</v>
      </c>
      <c r="K114" t="s">
        <v>1521</v>
      </c>
      <c r="L114" t="s">
        <v>1525</v>
      </c>
      <c r="M114">
        <v>46</v>
      </c>
      <c r="N114" t="s">
        <v>1528</v>
      </c>
      <c r="O114">
        <f t="shared" si="6"/>
        <v>2025</v>
      </c>
      <c r="P114">
        <f t="shared" si="7"/>
        <v>2</v>
      </c>
      <c r="Q114" s="3">
        <f t="shared" si="8"/>
        <v>5.7158762886597918</v>
      </c>
      <c r="R114">
        <f t="shared" si="9"/>
        <v>1</v>
      </c>
      <c r="S114" t="str">
        <f t="shared" si="10"/>
        <v>Normal</v>
      </c>
      <c r="U114" t="str">
        <f t="shared" si="11"/>
        <v>2025-02</v>
      </c>
    </row>
    <row r="115" spans="1:21" x14ac:dyDescent="0.35">
      <c r="A115" t="s">
        <v>127</v>
      </c>
      <c r="B115" t="s">
        <v>625</v>
      </c>
      <c r="C115" t="s">
        <v>1116</v>
      </c>
      <c r="D115" t="s">
        <v>1503</v>
      </c>
      <c r="E115" s="9" t="s">
        <v>1508</v>
      </c>
      <c r="F115" s="9" t="s">
        <v>1511</v>
      </c>
      <c r="G115" s="7">
        <v>45644</v>
      </c>
      <c r="H115" s="5">
        <v>89</v>
      </c>
      <c r="I115" s="3">
        <v>30.92</v>
      </c>
      <c r="J115" t="s">
        <v>1517</v>
      </c>
      <c r="K115" t="s">
        <v>1521</v>
      </c>
      <c r="L115" t="s">
        <v>1526</v>
      </c>
      <c r="M115">
        <v>48</v>
      </c>
      <c r="N115" t="s">
        <v>1528</v>
      </c>
      <c r="O115">
        <f t="shared" si="6"/>
        <v>2024</v>
      </c>
      <c r="P115">
        <f t="shared" si="7"/>
        <v>12</v>
      </c>
      <c r="Q115" s="3">
        <f t="shared" si="8"/>
        <v>5.7306459948320398</v>
      </c>
      <c r="R115">
        <f t="shared" si="9"/>
        <v>1</v>
      </c>
      <c r="S115" t="str">
        <f t="shared" si="10"/>
        <v>Normal</v>
      </c>
      <c r="U115" t="str">
        <f t="shared" si="11"/>
        <v>2024-12</v>
      </c>
    </row>
    <row r="116" spans="1:21" x14ac:dyDescent="0.35">
      <c r="A116" t="s">
        <v>128</v>
      </c>
      <c r="B116" t="s">
        <v>626</v>
      </c>
      <c r="C116" t="s">
        <v>1117</v>
      </c>
      <c r="D116" t="s">
        <v>1503</v>
      </c>
      <c r="E116" s="9" t="s">
        <v>1508</v>
      </c>
      <c r="F116" s="9" t="s">
        <v>1514</v>
      </c>
      <c r="G116" s="7">
        <v>45703</v>
      </c>
      <c r="H116" s="5">
        <v>22</v>
      </c>
      <c r="I116" s="3">
        <v>28.43</v>
      </c>
      <c r="J116" t="s">
        <v>1519</v>
      </c>
      <c r="K116" t="s">
        <v>1522</v>
      </c>
      <c r="L116" t="s">
        <v>1526</v>
      </c>
      <c r="M116">
        <v>36</v>
      </c>
      <c r="N116" t="s">
        <v>1528</v>
      </c>
      <c r="O116">
        <f t="shared" si="6"/>
        <v>2025</v>
      </c>
      <c r="P116">
        <f t="shared" si="7"/>
        <v>2</v>
      </c>
      <c r="Q116" s="3">
        <f t="shared" si="8"/>
        <v>5.6653886010362671</v>
      </c>
      <c r="R116">
        <f t="shared" si="9"/>
        <v>0</v>
      </c>
      <c r="S116" t="str">
        <f t="shared" si="10"/>
        <v>Normal</v>
      </c>
      <c r="U116" t="str">
        <f t="shared" si="11"/>
        <v>2025-02</v>
      </c>
    </row>
    <row r="117" spans="1:21" x14ac:dyDescent="0.35">
      <c r="A117" t="s">
        <v>129</v>
      </c>
      <c r="B117" t="s">
        <v>627</v>
      </c>
      <c r="C117" t="s">
        <v>1118</v>
      </c>
      <c r="D117" t="s">
        <v>1503</v>
      </c>
      <c r="E117" s="9" t="s">
        <v>1507</v>
      </c>
      <c r="F117" s="9" t="s">
        <v>1513</v>
      </c>
      <c r="G117" s="7">
        <v>45749</v>
      </c>
      <c r="H117" s="5">
        <v>65</v>
      </c>
      <c r="I117" s="3">
        <v>0</v>
      </c>
      <c r="J117" t="s">
        <v>1516</v>
      </c>
      <c r="K117" t="s">
        <v>1521</v>
      </c>
      <c r="L117" t="s">
        <v>1525</v>
      </c>
      <c r="M117">
        <v>8</v>
      </c>
      <c r="N117" t="s">
        <v>1528</v>
      </c>
      <c r="O117">
        <f t="shared" si="6"/>
        <v>2025</v>
      </c>
      <c r="P117">
        <f t="shared" si="7"/>
        <v>4</v>
      </c>
      <c r="Q117" s="3">
        <f t="shared" si="8"/>
        <v>5.6062597402597376</v>
      </c>
      <c r="R117">
        <f t="shared" si="9"/>
        <v>1</v>
      </c>
      <c r="S117" t="str">
        <f t="shared" si="10"/>
        <v>Normal</v>
      </c>
      <c r="U117" t="str">
        <f t="shared" si="11"/>
        <v>2025-04</v>
      </c>
    </row>
    <row r="118" spans="1:21" x14ac:dyDescent="0.35">
      <c r="A118" t="s">
        <v>130</v>
      </c>
      <c r="B118" t="s">
        <v>628</v>
      </c>
      <c r="C118" t="s">
        <v>1119</v>
      </c>
      <c r="D118" t="s">
        <v>1502</v>
      </c>
      <c r="E118" s="9" t="s">
        <v>1509</v>
      </c>
      <c r="F118" s="9" t="s">
        <v>1514</v>
      </c>
      <c r="G118" s="7">
        <v>45707</v>
      </c>
      <c r="H118" s="5">
        <v>22</v>
      </c>
      <c r="I118" s="3">
        <v>0</v>
      </c>
      <c r="J118" t="s">
        <v>1516</v>
      </c>
      <c r="K118" t="s">
        <v>1521</v>
      </c>
      <c r="L118" t="s">
        <v>1525</v>
      </c>
      <c r="M118">
        <v>7</v>
      </c>
      <c r="N118" t="s">
        <v>1528</v>
      </c>
      <c r="O118">
        <f t="shared" si="6"/>
        <v>2025</v>
      </c>
      <c r="P118">
        <f t="shared" si="7"/>
        <v>2</v>
      </c>
      <c r="Q118" s="3">
        <f t="shared" si="8"/>
        <v>5.6208593749999975</v>
      </c>
      <c r="R118">
        <f t="shared" si="9"/>
        <v>1</v>
      </c>
      <c r="S118" t="str">
        <f t="shared" si="10"/>
        <v>Normal</v>
      </c>
      <c r="U118" t="str">
        <f t="shared" si="11"/>
        <v>2025-02</v>
      </c>
    </row>
    <row r="119" spans="1:21" x14ac:dyDescent="0.35">
      <c r="A119" t="s">
        <v>131</v>
      </c>
      <c r="B119" t="s">
        <v>629</v>
      </c>
      <c r="C119" t="s">
        <v>1120</v>
      </c>
      <c r="D119" t="s">
        <v>1506</v>
      </c>
      <c r="E119" s="9" t="s">
        <v>1508</v>
      </c>
      <c r="F119" s="9" t="s">
        <v>1513</v>
      </c>
      <c r="G119" s="7">
        <v>45791</v>
      </c>
      <c r="H119" s="5">
        <v>98</v>
      </c>
      <c r="I119" s="3">
        <v>0</v>
      </c>
      <c r="J119" t="s">
        <v>1516</v>
      </c>
      <c r="K119" t="s">
        <v>1522</v>
      </c>
      <c r="L119" t="s">
        <v>1525</v>
      </c>
      <c r="M119">
        <v>7</v>
      </c>
      <c r="N119" t="s">
        <v>1528</v>
      </c>
      <c r="O119">
        <f t="shared" si="6"/>
        <v>2025</v>
      </c>
      <c r="P119">
        <f t="shared" si="7"/>
        <v>5</v>
      </c>
      <c r="Q119" s="3">
        <f t="shared" si="8"/>
        <v>5.6355352480417729</v>
      </c>
      <c r="R119">
        <f t="shared" si="9"/>
        <v>0</v>
      </c>
      <c r="S119" t="str">
        <f t="shared" si="10"/>
        <v>Normal</v>
      </c>
      <c r="U119" t="str">
        <f t="shared" si="11"/>
        <v>2025-05</v>
      </c>
    </row>
    <row r="120" spans="1:21" x14ac:dyDescent="0.35">
      <c r="A120" t="s">
        <v>132</v>
      </c>
      <c r="B120" t="s">
        <v>630</v>
      </c>
      <c r="C120" t="s">
        <v>1121</v>
      </c>
      <c r="D120" t="s">
        <v>1502</v>
      </c>
      <c r="E120" s="9" t="s">
        <v>1507</v>
      </c>
      <c r="F120" s="9" t="s">
        <v>1512</v>
      </c>
      <c r="G120" s="7">
        <v>45781</v>
      </c>
      <c r="H120" s="5">
        <v>63</v>
      </c>
      <c r="I120" s="3">
        <v>0</v>
      </c>
      <c r="J120" t="s">
        <v>1516</v>
      </c>
      <c r="K120" t="s">
        <v>1521</v>
      </c>
      <c r="L120" t="s">
        <v>1525</v>
      </c>
      <c r="M120">
        <v>13</v>
      </c>
      <c r="N120" t="s">
        <v>1528</v>
      </c>
      <c r="O120">
        <f t="shared" si="6"/>
        <v>2025</v>
      </c>
      <c r="P120">
        <f t="shared" si="7"/>
        <v>5</v>
      </c>
      <c r="Q120" s="3">
        <f t="shared" si="8"/>
        <v>5.6502879581151806</v>
      </c>
      <c r="R120">
        <f t="shared" si="9"/>
        <v>1</v>
      </c>
      <c r="S120" t="str">
        <f t="shared" si="10"/>
        <v>Normal</v>
      </c>
      <c r="U120" t="str">
        <f t="shared" si="11"/>
        <v>2025-05</v>
      </c>
    </row>
    <row r="121" spans="1:21" x14ac:dyDescent="0.35">
      <c r="A121" t="s">
        <v>133</v>
      </c>
      <c r="B121" t="s">
        <v>631</v>
      </c>
      <c r="C121" t="s">
        <v>1122</v>
      </c>
      <c r="D121" t="s">
        <v>1505</v>
      </c>
      <c r="E121" s="9" t="s">
        <v>1509</v>
      </c>
      <c r="F121" s="9" t="s">
        <v>1512</v>
      </c>
      <c r="G121" s="7">
        <v>45726</v>
      </c>
      <c r="H121" s="5">
        <v>45</v>
      </c>
      <c r="I121" s="3">
        <v>31.67</v>
      </c>
      <c r="J121" t="s">
        <v>1518</v>
      </c>
      <c r="K121" t="s">
        <v>1521</v>
      </c>
      <c r="L121" t="s">
        <v>1526</v>
      </c>
      <c r="M121">
        <v>45</v>
      </c>
      <c r="N121" t="s">
        <v>1528</v>
      </c>
      <c r="O121">
        <f t="shared" si="6"/>
        <v>2025</v>
      </c>
      <c r="P121">
        <f t="shared" si="7"/>
        <v>3</v>
      </c>
      <c r="Q121" s="3">
        <f t="shared" si="8"/>
        <v>5.665118110236218</v>
      </c>
      <c r="R121">
        <f t="shared" si="9"/>
        <v>1</v>
      </c>
      <c r="S121" t="str">
        <f t="shared" si="10"/>
        <v>Normal</v>
      </c>
      <c r="U121" t="str">
        <f t="shared" si="11"/>
        <v>2025-03</v>
      </c>
    </row>
    <row r="122" spans="1:21" x14ac:dyDescent="0.35">
      <c r="A122" t="s">
        <v>134</v>
      </c>
      <c r="B122" t="s">
        <v>632</v>
      </c>
      <c r="C122" t="s">
        <v>1123</v>
      </c>
      <c r="D122" t="s">
        <v>1505</v>
      </c>
      <c r="E122" s="9" t="s">
        <v>1507</v>
      </c>
      <c r="F122" s="9" t="s">
        <v>1512</v>
      </c>
      <c r="G122" s="7">
        <v>45688</v>
      </c>
      <c r="H122" s="5">
        <v>142</v>
      </c>
      <c r="I122" s="3">
        <v>0</v>
      </c>
      <c r="J122" t="s">
        <v>1516</v>
      </c>
      <c r="K122" t="s">
        <v>1521</v>
      </c>
      <c r="L122" t="s">
        <v>1525</v>
      </c>
      <c r="M122">
        <v>3</v>
      </c>
      <c r="N122" t="s">
        <v>1528</v>
      </c>
      <c r="O122">
        <f t="shared" si="6"/>
        <v>2025</v>
      </c>
      <c r="P122">
        <f t="shared" si="7"/>
        <v>1</v>
      </c>
      <c r="Q122" s="3">
        <f t="shared" si="8"/>
        <v>5.5966842105263144</v>
      </c>
      <c r="R122">
        <f t="shared" si="9"/>
        <v>1</v>
      </c>
      <c r="S122" t="str">
        <f t="shared" si="10"/>
        <v>Normal</v>
      </c>
      <c r="U122" t="str">
        <f t="shared" si="11"/>
        <v>2025-01</v>
      </c>
    </row>
    <row r="123" spans="1:21" x14ac:dyDescent="0.35">
      <c r="A123" t="s">
        <v>135</v>
      </c>
      <c r="B123" t="s">
        <v>633</v>
      </c>
      <c r="C123" t="s">
        <v>1124</v>
      </c>
      <c r="D123" t="s">
        <v>1504</v>
      </c>
      <c r="E123" s="9" t="s">
        <v>1507</v>
      </c>
      <c r="F123" s="9" t="s">
        <v>1511</v>
      </c>
      <c r="G123" s="7">
        <v>45817</v>
      </c>
      <c r="H123" s="5">
        <v>56</v>
      </c>
      <c r="I123" s="3">
        <v>4.07</v>
      </c>
      <c r="J123" t="s">
        <v>1518</v>
      </c>
      <c r="K123" t="s">
        <v>1521</v>
      </c>
      <c r="L123" t="s">
        <v>1526</v>
      </c>
      <c r="M123">
        <v>45</v>
      </c>
      <c r="N123" t="s">
        <v>1528</v>
      </c>
      <c r="O123">
        <f t="shared" si="6"/>
        <v>2025</v>
      </c>
      <c r="P123">
        <f t="shared" si="7"/>
        <v>6</v>
      </c>
      <c r="Q123" s="3">
        <f t="shared" si="8"/>
        <v>5.6114511873350903</v>
      </c>
      <c r="R123">
        <f t="shared" si="9"/>
        <v>1</v>
      </c>
      <c r="S123" t="str">
        <f t="shared" si="10"/>
        <v>Normal</v>
      </c>
      <c r="U123" t="str">
        <f t="shared" si="11"/>
        <v>2025-06</v>
      </c>
    </row>
    <row r="124" spans="1:21" x14ac:dyDescent="0.35">
      <c r="A124" t="s">
        <v>136</v>
      </c>
      <c r="B124" t="s">
        <v>634</v>
      </c>
      <c r="C124" t="s">
        <v>1125</v>
      </c>
      <c r="D124" t="s">
        <v>1503</v>
      </c>
      <c r="E124" s="9" t="s">
        <v>1508</v>
      </c>
      <c r="F124" s="9" t="s">
        <v>1514</v>
      </c>
      <c r="G124" s="7">
        <v>45648</v>
      </c>
      <c r="H124" s="5">
        <v>156</v>
      </c>
      <c r="I124" s="3">
        <v>0</v>
      </c>
      <c r="J124" t="s">
        <v>1516</v>
      </c>
      <c r="K124" t="s">
        <v>1521</v>
      </c>
      <c r="L124" t="s">
        <v>1526</v>
      </c>
      <c r="M124">
        <v>45</v>
      </c>
      <c r="N124" t="s">
        <v>1527</v>
      </c>
      <c r="O124">
        <f t="shared" si="6"/>
        <v>2024</v>
      </c>
      <c r="P124">
        <f t="shared" si="7"/>
        <v>12</v>
      </c>
      <c r="Q124" s="3">
        <f t="shared" si="8"/>
        <v>5.6155291005290984</v>
      </c>
      <c r="R124">
        <f t="shared" si="9"/>
        <v>1</v>
      </c>
      <c r="S124" t="str">
        <f t="shared" si="10"/>
        <v>Normal</v>
      </c>
      <c r="U124" t="str">
        <f t="shared" si="11"/>
        <v>2024-12</v>
      </c>
    </row>
    <row r="125" spans="1:21" x14ac:dyDescent="0.35">
      <c r="A125" t="s">
        <v>137</v>
      </c>
      <c r="B125" t="s">
        <v>635</v>
      </c>
      <c r="C125" t="s">
        <v>1126</v>
      </c>
      <c r="D125" t="s">
        <v>1506</v>
      </c>
      <c r="E125" s="9" t="s">
        <v>1509</v>
      </c>
      <c r="F125" s="9" t="s">
        <v>1514</v>
      </c>
      <c r="G125" s="7">
        <v>45667</v>
      </c>
      <c r="H125" s="5">
        <v>123</v>
      </c>
      <c r="I125" s="3">
        <v>0</v>
      </c>
      <c r="J125" t="s">
        <v>1516</v>
      </c>
      <c r="K125" t="s">
        <v>1522</v>
      </c>
      <c r="L125" t="s">
        <v>1525</v>
      </c>
      <c r="M125">
        <v>12</v>
      </c>
      <c r="N125" t="s">
        <v>1528</v>
      </c>
      <c r="O125">
        <f t="shared" si="6"/>
        <v>2025</v>
      </c>
      <c r="P125">
        <f t="shared" si="7"/>
        <v>1</v>
      </c>
      <c r="Q125" s="3">
        <f t="shared" si="8"/>
        <v>5.6304244031830217</v>
      </c>
      <c r="R125">
        <f t="shared" si="9"/>
        <v>0</v>
      </c>
      <c r="S125" t="str">
        <f t="shared" si="10"/>
        <v>Normal</v>
      </c>
      <c r="U125" t="str">
        <f t="shared" si="11"/>
        <v>2025-01</v>
      </c>
    </row>
    <row r="126" spans="1:21" x14ac:dyDescent="0.35">
      <c r="A126" t="s">
        <v>138</v>
      </c>
      <c r="B126" t="s">
        <v>636</v>
      </c>
      <c r="C126" t="s">
        <v>1127</v>
      </c>
      <c r="D126" t="s">
        <v>1503</v>
      </c>
      <c r="E126" s="9" t="s">
        <v>1509</v>
      </c>
      <c r="F126" s="9" t="s">
        <v>1514</v>
      </c>
      <c r="G126" s="7">
        <v>45819</v>
      </c>
      <c r="H126" s="5">
        <v>172</v>
      </c>
      <c r="I126" s="3">
        <v>0</v>
      </c>
      <c r="J126" t="s">
        <v>1516</v>
      </c>
      <c r="K126" t="s">
        <v>1523</v>
      </c>
      <c r="L126" t="s">
        <v>1525</v>
      </c>
      <c r="M126">
        <v>21</v>
      </c>
      <c r="N126" t="s">
        <v>1527</v>
      </c>
      <c r="O126">
        <f t="shared" si="6"/>
        <v>2025</v>
      </c>
      <c r="P126">
        <f t="shared" si="7"/>
        <v>6</v>
      </c>
      <c r="Q126" s="3">
        <f t="shared" si="8"/>
        <v>5.6453989361702108</v>
      </c>
      <c r="R126">
        <f t="shared" si="9"/>
        <v>0</v>
      </c>
      <c r="S126" t="str">
        <f t="shared" si="10"/>
        <v>Normal</v>
      </c>
      <c r="U126" t="str">
        <f t="shared" si="11"/>
        <v>2025-06</v>
      </c>
    </row>
    <row r="127" spans="1:21" x14ac:dyDescent="0.35">
      <c r="A127" t="s">
        <v>139</v>
      </c>
      <c r="B127" t="s">
        <v>637</v>
      </c>
      <c r="C127" t="s">
        <v>1128</v>
      </c>
      <c r="D127" t="s">
        <v>1503</v>
      </c>
      <c r="E127" s="9" t="s">
        <v>1508</v>
      </c>
      <c r="F127" s="9" t="s">
        <v>1510</v>
      </c>
      <c r="G127" s="7">
        <v>45686</v>
      </c>
      <c r="H127" s="5">
        <v>46</v>
      </c>
      <c r="I127" s="3">
        <v>14.47</v>
      </c>
      <c r="J127" t="s">
        <v>1517</v>
      </c>
      <c r="K127" t="s">
        <v>1523</v>
      </c>
      <c r="L127" t="s">
        <v>1526</v>
      </c>
      <c r="M127">
        <v>30</v>
      </c>
      <c r="N127" t="s">
        <v>1528</v>
      </c>
      <c r="O127">
        <f t="shared" si="6"/>
        <v>2025</v>
      </c>
      <c r="P127">
        <f t="shared" si="7"/>
        <v>1</v>
      </c>
      <c r="Q127" s="3">
        <f t="shared" si="8"/>
        <v>5.6604533333333311</v>
      </c>
      <c r="R127">
        <f t="shared" si="9"/>
        <v>0</v>
      </c>
      <c r="S127" t="str">
        <f t="shared" si="10"/>
        <v>Normal</v>
      </c>
      <c r="U127" t="str">
        <f t="shared" si="11"/>
        <v>2025-01</v>
      </c>
    </row>
    <row r="128" spans="1:21" x14ac:dyDescent="0.35">
      <c r="A128" t="s">
        <v>140</v>
      </c>
      <c r="B128" t="s">
        <v>638</v>
      </c>
      <c r="C128" t="s">
        <v>1129</v>
      </c>
      <c r="D128" t="s">
        <v>1502</v>
      </c>
      <c r="E128" s="9" t="s">
        <v>1507</v>
      </c>
      <c r="F128" s="9" t="s">
        <v>1515</v>
      </c>
      <c r="G128" s="7">
        <v>45661</v>
      </c>
      <c r="H128" s="5">
        <v>153</v>
      </c>
      <c r="I128" s="3">
        <v>0</v>
      </c>
      <c r="J128" t="s">
        <v>1516</v>
      </c>
      <c r="K128" t="s">
        <v>1523</v>
      </c>
      <c r="L128" t="s">
        <v>1525</v>
      </c>
      <c r="M128">
        <v>15</v>
      </c>
      <c r="N128" t="s">
        <v>1527</v>
      </c>
      <c r="O128">
        <f t="shared" si="6"/>
        <v>2025</v>
      </c>
      <c r="P128">
        <f t="shared" si="7"/>
        <v>1</v>
      </c>
      <c r="Q128" s="3">
        <f t="shared" si="8"/>
        <v>5.6368983957219232</v>
      </c>
      <c r="R128">
        <f t="shared" si="9"/>
        <v>0</v>
      </c>
      <c r="S128" t="str">
        <f t="shared" si="10"/>
        <v>Normal</v>
      </c>
      <c r="U128" t="str">
        <f t="shared" si="11"/>
        <v>2025-01</v>
      </c>
    </row>
    <row r="129" spans="1:21" x14ac:dyDescent="0.35">
      <c r="A129" t="s">
        <v>141</v>
      </c>
      <c r="B129" t="s">
        <v>639</v>
      </c>
      <c r="C129" t="s">
        <v>1130</v>
      </c>
      <c r="D129" t="s">
        <v>1502</v>
      </c>
      <c r="E129" s="9" t="s">
        <v>1508</v>
      </c>
      <c r="F129" s="9" t="s">
        <v>1513</v>
      </c>
      <c r="G129" s="7">
        <v>45815</v>
      </c>
      <c r="H129" s="5">
        <v>128</v>
      </c>
      <c r="I129" s="3">
        <v>0</v>
      </c>
      <c r="J129" t="s">
        <v>1516</v>
      </c>
      <c r="K129" t="s">
        <v>1522</v>
      </c>
      <c r="L129" t="s">
        <v>1525</v>
      </c>
      <c r="M129">
        <v>32</v>
      </c>
      <c r="N129" t="s">
        <v>1528</v>
      </c>
      <c r="O129">
        <f t="shared" si="6"/>
        <v>2025</v>
      </c>
      <c r="P129">
        <f t="shared" si="7"/>
        <v>6</v>
      </c>
      <c r="Q129" s="3">
        <f t="shared" si="8"/>
        <v>5.6520107238605881</v>
      </c>
      <c r="R129">
        <f t="shared" si="9"/>
        <v>0</v>
      </c>
      <c r="S129" t="str">
        <f t="shared" si="10"/>
        <v>Normal</v>
      </c>
      <c r="U129" t="str">
        <f t="shared" si="11"/>
        <v>2025-06</v>
      </c>
    </row>
    <row r="130" spans="1:21" x14ac:dyDescent="0.35">
      <c r="A130" t="s">
        <v>142</v>
      </c>
      <c r="B130" t="s">
        <v>640</v>
      </c>
      <c r="C130" t="s">
        <v>1131</v>
      </c>
      <c r="D130" t="s">
        <v>1503</v>
      </c>
      <c r="E130" s="9" t="s">
        <v>1509</v>
      </c>
      <c r="F130" s="9" t="s">
        <v>1514</v>
      </c>
      <c r="G130" s="7">
        <v>45814</v>
      </c>
      <c r="H130" s="5">
        <v>54</v>
      </c>
      <c r="I130" s="3">
        <v>0</v>
      </c>
      <c r="J130" t="s">
        <v>1516</v>
      </c>
      <c r="K130" t="s">
        <v>1521</v>
      </c>
      <c r="L130" t="s">
        <v>1525</v>
      </c>
      <c r="M130">
        <v>15</v>
      </c>
      <c r="N130" t="s">
        <v>1528</v>
      </c>
      <c r="O130">
        <f t="shared" si="6"/>
        <v>2025</v>
      </c>
      <c r="P130">
        <f t="shared" si="7"/>
        <v>6</v>
      </c>
      <c r="Q130" s="3">
        <f t="shared" si="8"/>
        <v>5.6672043010752668</v>
      </c>
      <c r="R130">
        <f t="shared" si="9"/>
        <v>1</v>
      </c>
      <c r="S130" t="str">
        <f t="shared" si="10"/>
        <v>Normal</v>
      </c>
      <c r="U130" t="str">
        <f t="shared" si="11"/>
        <v>2025-06</v>
      </c>
    </row>
    <row r="131" spans="1:21" x14ac:dyDescent="0.35">
      <c r="A131" t="s">
        <v>143</v>
      </c>
      <c r="B131" t="s">
        <v>641</v>
      </c>
      <c r="C131" t="s">
        <v>1132</v>
      </c>
      <c r="D131" t="s">
        <v>1503</v>
      </c>
      <c r="E131" s="9" t="s">
        <v>1508</v>
      </c>
      <c r="F131" s="9" t="s">
        <v>1510</v>
      </c>
      <c r="G131" s="7">
        <v>45670</v>
      </c>
      <c r="H131" s="5">
        <v>133</v>
      </c>
      <c r="I131" s="3">
        <v>0</v>
      </c>
      <c r="J131" t="s">
        <v>1516</v>
      </c>
      <c r="K131" t="s">
        <v>1521</v>
      </c>
      <c r="L131" t="s">
        <v>1525</v>
      </c>
      <c r="M131">
        <v>35</v>
      </c>
      <c r="N131" t="s">
        <v>1528</v>
      </c>
      <c r="O131">
        <f t="shared" ref="O131:O194" si="12">YEAR(G131)</f>
        <v>2025</v>
      </c>
      <c r="P131">
        <f t="shared" ref="P131:P194" si="13">MONTH(G131)</f>
        <v>1</v>
      </c>
      <c r="Q131" s="3">
        <f t="shared" ref="Q131:Q194" si="14">SUM(I131:I630)/COUNTA(B131:B630)</f>
        <v>5.6824797843665751</v>
      </c>
      <c r="R131">
        <f t="shared" ref="R131:R194" si="15">IF(K131="Completed",1,0)</f>
        <v>1</v>
      </c>
      <c r="S131" t="str">
        <f t="shared" ref="S131:S194" si="16">IF((H131&gt;$T$2),"Suspicious","Normal")</f>
        <v>Normal</v>
      </c>
      <c r="U131" t="str">
        <f t="shared" ref="U131:U194" si="17">TEXT(G131,"yyyy-mm")</f>
        <v>2025-01</v>
      </c>
    </row>
    <row r="132" spans="1:21" x14ac:dyDescent="0.35">
      <c r="A132" t="s">
        <v>144</v>
      </c>
      <c r="B132" t="s">
        <v>642</v>
      </c>
      <c r="C132" t="s">
        <v>1133</v>
      </c>
      <c r="D132" t="s">
        <v>1505</v>
      </c>
      <c r="E132" s="9" t="s">
        <v>1508</v>
      </c>
      <c r="F132" s="9" t="s">
        <v>1514</v>
      </c>
      <c r="G132" s="7">
        <v>45778</v>
      </c>
      <c r="H132" s="5">
        <v>116</v>
      </c>
      <c r="I132" s="3">
        <v>0</v>
      </c>
      <c r="J132" t="s">
        <v>1516</v>
      </c>
      <c r="K132" t="s">
        <v>1522</v>
      </c>
      <c r="L132" t="s">
        <v>1525</v>
      </c>
      <c r="M132">
        <v>30</v>
      </c>
      <c r="N132" t="s">
        <v>1528</v>
      </c>
      <c r="O132">
        <f t="shared" si="12"/>
        <v>2025</v>
      </c>
      <c r="P132">
        <f t="shared" si="13"/>
        <v>5</v>
      </c>
      <c r="Q132" s="3">
        <f t="shared" si="14"/>
        <v>5.6978378378378363</v>
      </c>
      <c r="R132">
        <f t="shared" si="15"/>
        <v>0</v>
      </c>
      <c r="S132" t="str">
        <f t="shared" si="16"/>
        <v>Normal</v>
      </c>
      <c r="U132" t="str">
        <f t="shared" si="17"/>
        <v>2025-05</v>
      </c>
    </row>
    <row r="133" spans="1:21" x14ac:dyDescent="0.35">
      <c r="A133" t="s">
        <v>145</v>
      </c>
      <c r="B133" t="s">
        <v>643</v>
      </c>
      <c r="C133" t="s">
        <v>1134</v>
      </c>
      <c r="D133" t="s">
        <v>1503</v>
      </c>
      <c r="E133" s="9" t="s">
        <v>1507</v>
      </c>
      <c r="F133" s="9" t="s">
        <v>1513</v>
      </c>
      <c r="G133" s="7">
        <v>45644</v>
      </c>
      <c r="H133" s="5">
        <v>95</v>
      </c>
      <c r="I133" s="3">
        <v>0</v>
      </c>
      <c r="J133" t="s">
        <v>1516</v>
      </c>
      <c r="K133" t="s">
        <v>1521</v>
      </c>
      <c r="L133" t="s">
        <v>1525</v>
      </c>
      <c r="M133">
        <v>20</v>
      </c>
      <c r="N133" t="s">
        <v>1528</v>
      </c>
      <c r="O133">
        <f t="shared" si="12"/>
        <v>2024</v>
      </c>
      <c r="P133">
        <f t="shared" si="13"/>
        <v>12</v>
      </c>
      <c r="Q133" s="3">
        <f t="shared" si="14"/>
        <v>5.7132791327913264</v>
      </c>
      <c r="R133">
        <f t="shared" si="15"/>
        <v>1</v>
      </c>
      <c r="S133" t="str">
        <f t="shared" si="16"/>
        <v>Normal</v>
      </c>
      <c r="U133" t="str">
        <f t="shared" si="17"/>
        <v>2024-12</v>
      </c>
    </row>
    <row r="134" spans="1:21" x14ac:dyDescent="0.35">
      <c r="A134" t="s">
        <v>146</v>
      </c>
      <c r="B134" t="s">
        <v>644</v>
      </c>
      <c r="C134" t="s">
        <v>1135</v>
      </c>
      <c r="D134" t="s">
        <v>1504</v>
      </c>
      <c r="E134" s="9" t="s">
        <v>1509</v>
      </c>
      <c r="F134" s="9" t="s">
        <v>1512</v>
      </c>
      <c r="G134" s="7">
        <v>45648</v>
      </c>
      <c r="H134" s="5">
        <v>107</v>
      </c>
      <c r="I134" s="3">
        <v>0</v>
      </c>
      <c r="J134" t="s">
        <v>1516</v>
      </c>
      <c r="K134" t="s">
        <v>1524</v>
      </c>
      <c r="L134" t="s">
        <v>1525</v>
      </c>
      <c r="M134">
        <v>7</v>
      </c>
      <c r="N134" t="s">
        <v>1528</v>
      </c>
      <c r="O134">
        <f t="shared" si="12"/>
        <v>2024</v>
      </c>
      <c r="P134">
        <f t="shared" si="13"/>
        <v>12</v>
      </c>
      <c r="Q134" s="3">
        <f t="shared" si="14"/>
        <v>5.7288043478260855</v>
      </c>
      <c r="R134">
        <f t="shared" si="15"/>
        <v>0</v>
      </c>
      <c r="S134" t="str">
        <f t="shared" si="16"/>
        <v>Normal</v>
      </c>
      <c r="U134" t="str">
        <f t="shared" si="17"/>
        <v>2024-12</v>
      </c>
    </row>
    <row r="135" spans="1:21" x14ac:dyDescent="0.35">
      <c r="A135" t="s">
        <v>147</v>
      </c>
      <c r="B135" t="s">
        <v>645</v>
      </c>
      <c r="C135" t="s">
        <v>1136</v>
      </c>
      <c r="D135" t="s">
        <v>1504</v>
      </c>
      <c r="E135" s="9" t="s">
        <v>1509</v>
      </c>
      <c r="F135" s="9" t="s">
        <v>1512</v>
      </c>
      <c r="G135" s="7">
        <v>45748</v>
      </c>
      <c r="H135" s="5">
        <v>150</v>
      </c>
      <c r="I135" s="3">
        <v>0</v>
      </c>
      <c r="J135" t="s">
        <v>1516</v>
      </c>
      <c r="K135" t="s">
        <v>1521</v>
      </c>
      <c r="L135" t="s">
        <v>1525</v>
      </c>
      <c r="M135">
        <v>47</v>
      </c>
      <c r="N135" t="s">
        <v>1528</v>
      </c>
      <c r="O135">
        <f t="shared" si="12"/>
        <v>2025</v>
      </c>
      <c r="P135">
        <f t="shared" si="13"/>
        <v>4</v>
      </c>
      <c r="Q135" s="3">
        <f t="shared" si="14"/>
        <v>5.744414168937328</v>
      </c>
      <c r="R135">
        <f t="shared" si="15"/>
        <v>1</v>
      </c>
      <c r="S135" t="str">
        <f t="shared" si="16"/>
        <v>Normal</v>
      </c>
      <c r="U135" t="str">
        <f t="shared" si="17"/>
        <v>2025-04</v>
      </c>
    </row>
    <row r="136" spans="1:21" x14ac:dyDescent="0.35">
      <c r="A136" t="s">
        <v>148</v>
      </c>
      <c r="B136" t="s">
        <v>646</v>
      </c>
      <c r="C136" t="s">
        <v>1137</v>
      </c>
      <c r="D136" t="s">
        <v>1504</v>
      </c>
      <c r="E136" s="9" t="s">
        <v>1509</v>
      </c>
      <c r="F136" s="9" t="s">
        <v>1510</v>
      </c>
      <c r="G136" s="7">
        <v>45658</v>
      </c>
      <c r="H136" s="5">
        <v>175</v>
      </c>
      <c r="I136" s="3">
        <v>0</v>
      </c>
      <c r="J136" t="s">
        <v>1516</v>
      </c>
      <c r="K136" t="s">
        <v>1521</v>
      </c>
      <c r="L136" t="s">
        <v>1525</v>
      </c>
      <c r="M136">
        <v>49</v>
      </c>
      <c r="N136" t="s">
        <v>1527</v>
      </c>
      <c r="O136">
        <f t="shared" si="12"/>
        <v>2025</v>
      </c>
      <c r="P136">
        <f t="shared" si="13"/>
        <v>1</v>
      </c>
      <c r="Q136" s="3">
        <f t="shared" si="14"/>
        <v>5.7601092896174846</v>
      </c>
      <c r="R136">
        <f t="shared" si="15"/>
        <v>1</v>
      </c>
      <c r="S136" t="str">
        <f t="shared" si="16"/>
        <v>Suspicious</v>
      </c>
      <c r="U136" t="str">
        <f t="shared" si="17"/>
        <v>2025-01</v>
      </c>
    </row>
    <row r="137" spans="1:21" x14ac:dyDescent="0.35">
      <c r="A137" t="s">
        <v>149</v>
      </c>
      <c r="B137" t="s">
        <v>647</v>
      </c>
      <c r="C137" t="s">
        <v>1138</v>
      </c>
      <c r="D137" t="s">
        <v>1503</v>
      </c>
      <c r="E137" s="9" t="s">
        <v>1509</v>
      </c>
      <c r="F137" s="9" t="s">
        <v>1512</v>
      </c>
      <c r="G137" s="7">
        <v>45679</v>
      </c>
      <c r="H137" s="5">
        <v>26</v>
      </c>
      <c r="I137" s="3">
        <v>23.57</v>
      </c>
      <c r="J137" t="s">
        <v>1519</v>
      </c>
      <c r="K137" t="s">
        <v>1521</v>
      </c>
      <c r="L137" t="s">
        <v>1526</v>
      </c>
      <c r="M137">
        <v>10</v>
      </c>
      <c r="N137" t="s">
        <v>1528</v>
      </c>
      <c r="O137">
        <f t="shared" si="12"/>
        <v>2025</v>
      </c>
      <c r="P137">
        <f t="shared" si="13"/>
        <v>1</v>
      </c>
      <c r="Q137" s="3">
        <f t="shared" si="14"/>
        <v>5.775890410958902</v>
      </c>
      <c r="R137">
        <f t="shared" si="15"/>
        <v>1</v>
      </c>
      <c r="S137" t="str">
        <f t="shared" si="16"/>
        <v>Normal</v>
      </c>
      <c r="U137" t="str">
        <f t="shared" si="17"/>
        <v>2025-01</v>
      </c>
    </row>
    <row r="138" spans="1:21" x14ac:dyDescent="0.35">
      <c r="A138" t="s">
        <v>150</v>
      </c>
      <c r="B138" t="s">
        <v>648</v>
      </c>
      <c r="C138" t="s">
        <v>1139</v>
      </c>
      <c r="D138" t="s">
        <v>1504</v>
      </c>
      <c r="E138" s="9" t="s">
        <v>1509</v>
      </c>
      <c r="F138" s="9" t="s">
        <v>1511</v>
      </c>
      <c r="G138" s="7">
        <v>45794</v>
      </c>
      <c r="H138" s="5">
        <v>115</v>
      </c>
      <c r="I138" s="3">
        <v>0</v>
      </c>
      <c r="J138" t="s">
        <v>1516</v>
      </c>
      <c r="K138" t="s">
        <v>1522</v>
      </c>
      <c r="L138" t="s">
        <v>1525</v>
      </c>
      <c r="M138">
        <v>42</v>
      </c>
      <c r="N138" t="s">
        <v>1528</v>
      </c>
      <c r="O138">
        <f t="shared" si="12"/>
        <v>2025</v>
      </c>
      <c r="P138">
        <f t="shared" si="13"/>
        <v>5</v>
      </c>
      <c r="Q138" s="3">
        <f t="shared" si="14"/>
        <v>5.7270054945054936</v>
      </c>
      <c r="R138">
        <f t="shared" si="15"/>
        <v>0</v>
      </c>
      <c r="S138" t="str">
        <f t="shared" si="16"/>
        <v>Normal</v>
      </c>
      <c r="U138" t="str">
        <f t="shared" si="17"/>
        <v>2025-05</v>
      </c>
    </row>
    <row r="139" spans="1:21" x14ac:dyDescent="0.35">
      <c r="A139" t="s">
        <v>151</v>
      </c>
      <c r="B139" t="s">
        <v>618</v>
      </c>
      <c r="C139" t="s">
        <v>1140</v>
      </c>
      <c r="D139" t="s">
        <v>1502</v>
      </c>
      <c r="E139" s="9" t="s">
        <v>1509</v>
      </c>
      <c r="F139" s="9" t="s">
        <v>1512</v>
      </c>
      <c r="G139" s="7">
        <v>45774</v>
      </c>
      <c r="H139" s="5">
        <v>72</v>
      </c>
      <c r="I139" s="3">
        <v>0</v>
      </c>
      <c r="J139" t="s">
        <v>1516</v>
      </c>
      <c r="K139" t="s">
        <v>1521</v>
      </c>
      <c r="L139" t="s">
        <v>1526</v>
      </c>
      <c r="M139">
        <v>6</v>
      </c>
      <c r="N139" t="s">
        <v>1528</v>
      </c>
      <c r="O139">
        <f t="shared" si="12"/>
        <v>2025</v>
      </c>
      <c r="P139">
        <f t="shared" si="13"/>
        <v>4</v>
      </c>
      <c r="Q139" s="3">
        <f t="shared" si="14"/>
        <v>5.7427823691460045</v>
      </c>
      <c r="R139">
        <f t="shared" si="15"/>
        <v>1</v>
      </c>
      <c r="S139" t="str">
        <f t="shared" si="16"/>
        <v>Normal</v>
      </c>
      <c r="U139" t="str">
        <f t="shared" si="17"/>
        <v>2025-04</v>
      </c>
    </row>
    <row r="140" spans="1:21" x14ac:dyDescent="0.35">
      <c r="A140" t="s">
        <v>152</v>
      </c>
      <c r="B140" t="s">
        <v>649</v>
      </c>
      <c r="C140" t="s">
        <v>1141</v>
      </c>
      <c r="D140" t="s">
        <v>1505</v>
      </c>
      <c r="E140" s="9" t="s">
        <v>1507</v>
      </c>
      <c r="F140" s="9" t="s">
        <v>1515</v>
      </c>
      <c r="G140" s="7">
        <v>45814</v>
      </c>
      <c r="H140" s="5">
        <v>137</v>
      </c>
      <c r="I140" s="3">
        <v>0</v>
      </c>
      <c r="J140" t="s">
        <v>1516</v>
      </c>
      <c r="K140" t="s">
        <v>1524</v>
      </c>
      <c r="L140" t="s">
        <v>1525</v>
      </c>
      <c r="M140">
        <v>28</v>
      </c>
      <c r="N140" t="s">
        <v>1528</v>
      </c>
      <c r="O140">
        <f t="shared" si="12"/>
        <v>2025</v>
      </c>
      <c r="P140">
        <f t="shared" si="13"/>
        <v>6</v>
      </c>
      <c r="Q140" s="3">
        <f t="shared" si="14"/>
        <v>5.7586464088397777</v>
      </c>
      <c r="R140">
        <f t="shared" si="15"/>
        <v>0</v>
      </c>
      <c r="S140" t="str">
        <f t="shared" si="16"/>
        <v>Normal</v>
      </c>
      <c r="U140" t="str">
        <f t="shared" si="17"/>
        <v>2025-06</v>
      </c>
    </row>
    <row r="141" spans="1:21" x14ac:dyDescent="0.35">
      <c r="A141" t="s">
        <v>153</v>
      </c>
      <c r="B141" t="s">
        <v>650</v>
      </c>
      <c r="C141" t="s">
        <v>1142</v>
      </c>
      <c r="D141" t="s">
        <v>1504</v>
      </c>
      <c r="E141" s="9" t="s">
        <v>1507</v>
      </c>
      <c r="F141" s="9" t="s">
        <v>1515</v>
      </c>
      <c r="G141" s="7">
        <v>45759</v>
      </c>
      <c r="H141" s="5">
        <v>145</v>
      </c>
      <c r="I141" s="3">
        <v>0</v>
      </c>
      <c r="J141" t="s">
        <v>1516</v>
      </c>
      <c r="K141" t="s">
        <v>1521</v>
      </c>
      <c r="L141" t="s">
        <v>1526</v>
      </c>
      <c r="M141">
        <v>36</v>
      </c>
      <c r="N141" t="s">
        <v>1528</v>
      </c>
      <c r="O141">
        <f t="shared" si="12"/>
        <v>2025</v>
      </c>
      <c r="P141">
        <f t="shared" si="13"/>
        <v>4</v>
      </c>
      <c r="Q141" s="3">
        <f t="shared" si="14"/>
        <v>5.7745983379501373</v>
      </c>
      <c r="R141">
        <f t="shared" si="15"/>
        <v>1</v>
      </c>
      <c r="S141" t="str">
        <f t="shared" si="16"/>
        <v>Normal</v>
      </c>
      <c r="U141" t="str">
        <f t="shared" si="17"/>
        <v>2025-04</v>
      </c>
    </row>
    <row r="142" spans="1:21" x14ac:dyDescent="0.35">
      <c r="A142" t="s">
        <v>154</v>
      </c>
      <c r="B142" t="s">
        <v>651</v>
      </c>
      <c r="C142" t="s">
        <v>1143</v>
      </c>
      <c r="D142" t="s">
        <v>1504</v>
      </c>
      <c r="E142" s="9" t="s">
        <v>1508</v>
      </c>
      <c r="F142" s="9" t="s">
        <v>1513</v>
      </c>
      <c r="G142" s="7">
        <v>45741</v>
      </c>
      <c r="H142" s="5">
        <v>46</v>
      </c>
      <c r="I142" s="3">
        <v>0</v>
      </c>
      <c r="J142" t="s">
        <v>1516</v>
      </c>
      <c r="K142" t="s">
        <v>1521</v>
      </c>
      <c r="L142" t="s">
        <v>1525</v>
      </c>
      <c r="M142">
        <v>17</v>
      </c>
      <c r="N142" t="s">
        <v>1528</v>
      </c>
      <c r="O142">
        <f t="shared" si="12"/>
        <v>2025</v>
      </c>
      <c r="P142">
        <f t="shared" si="13"/>
        <v>3</v>
      </c>
      <c r="Q142" s="3">
        <f t="shared" si="14"/>
        <v>5.7906388888888882</v>
      </c>
      <c r="R142">
        <f t="shared" si="15"/>
        <v>1</v>
      </c>
      <c r="S142" t="str">
        <f t="shared" si="16"/>
        <v>Normal</v>
      </c>
      <c r="U142" t="str">
        <f t="shared" si="17"/>
        <v>2025-03</v>
      </c>
    </row>
    <row r="143" spans="1:21" x14ac:dyDescent="0.35">
      <c r="A143" t="s">
        <v>155</v>
      </c>
      <c r="B143" t="s">
        <v>652</v>
      </c>
      <c r="C143" t="s">
        <v>1144</v>
      </c>
      <c r="D143" t="s">
        <v>1505</v>
      </c>
      <c r="E143" s="9" t="s">
        <v>1509</v>
      </c>
      <c r="F143" s="9" t="s">
        <v>1515</v>
      </c>
      <c r="G143" s="7">
        <v>45685</v>
      </c>
      <c r="H143" s="5">
        <v>106</v>
      </c>
      <c r="I143" s="3">
        <v>0</v>
      </c>
      <c r="J143" t="s">
        <v>1516</v>
      </c>
      <c r="K143" t="s">
        <v>1521</v>
      </c>
      <c r="L143" t="s">
        <v>1525</v>
      </c>
      <c r="M143">
        <v>15</v>
      </c>
      <c r="N143" t="s">
        <v>1528</v>
      </c>
      <c r="O143">
        <f t="shared" si="12"/>
        <v>2025</v>
      </c>
      <c r="P143">
        <f t="shared" si="13"/>
        <v>1</v>
      </c>
      <c r="Q143" s="3">
        <f t="shared" si="14"/>
        <v>5.8067688022284116</v>
      </c>
      <c r="R143">
        <f t="shared" si="15"/>
        <v>1</v>
      </c>
      <c r="S143" t="str">
        <f t="shared" si="16"/>
        <v>Normal</v>
      </c>
      <c r="U143" t="str">
        <f t="shared" si="17"/>
        <v>2025-01</v>
      </c>
    </row>
    <row r="144" spans="1:21" x14ac:dyDescent="0.35">
      <c r="A144" t="s">
        <v>156</v>
      </c>
      <c r="B144" t="s">
        <v>653</v>
      </c>
      <c r="C144" t="s">
        <v>1145</v>
      </c>
      <c r="D144" t="s">
        <v>1502</v>
      </c>
      <c r="E144" s="9" t="s">
        <v>1508</v>
      </c>
      <c r="F144" s="9" t="s">
        <v>1513</v>
      </c>
      <c r="G144" s="7">
        <v>45705</v>
      </c>
      <c r="H144" s="5">
        <v>48</v>
      </c>
      <c r="I144" s="3">
        <v>46.63</v>
      </c>
      <c r="J144" t="s">
        <v>1519</v>
      </c>
      <c r="K144" t="s">
        <v>1521</v>
      </c>
      <c r="L144" t="s">
        <v>1526</v>
      </c>
      <c r="M144">
        <v>42</v>
      </c>
      <c r="N144" t="s">
        <v>1527</v>
      </c>
      <c r="O144">
        <f t="shared" si="12"/>
        <v>2025</v>
      </c>
      <c r="P144">
        <f t="shared" si="13"/>
        <v>2</v>
      </c>
      <c r="Q144" s="3">
        <f t="shared" si="14"/>
        <v>5.8229888268156413</v>
      </c>
      <c r="R144">
        <f t="shared" si="15"/>
        <v>1</v>
      </c>
      <c r="S144" t="str">
        <f t="shared" si="16"/>
        <v>Normal</v>
      </c>
      <c r="U144" t="str">
        <f t="shared" si="17"/>
        <v>2025-02</v>
      </c>
    </row>
    <row r="145" spans="1:21" x14ac:dyDescent="0.35">
      <c r="A145" t="s">
        <v>157</v>
      </c>
      <c r="B145" t="s">
        <v>654</v>
      </c>
      <c r="C145" t="s">
        <v>1146</v>
      </c>
      <c r="D145" t="s">
        <v>1503</v>
      </c>
      <c r="E145" s="9" t="s">
        <v>1507</v>
      </c>
      <c r="F145" s="9" t="s">
        <v>1515</v>
      </c>
      <c r="G145" s="7">
        <v>45769</v>
      </c>
      <c r="H145" s="5">
        <v>83</v>
      </c>
      <c r="I145" s="3">
        <v>0</v>
      </c>
      <c r="J145" t="s">
        <v>1516</v>
      </c>
      <c r="K145" t="s">
        <v>1521</v>
      </c>
      <c r="L145" t="s">
        <v>1525</v>
      </c>
      <c r="M145">
        <v>25</v>
      </c>
      <c r="N145" t="s">
        <v>1528</v>
      </c>
      <c r="O145">
        <f t="shared" si="12"/>
        <v>2025</v>
      </c>
      <c r="P145">
        <f t="shared" si="13"/>
        <v>4</v>
      </c>
      <c r="Q145" s="3">
        <f t="shared" si="14"/>
        <v>5.7086834733893541</v>
      </c>
      <c r="R145">
        <f t="shared" si="15"/>
        <v>1</v>
      </c>
      <c r="S145" t="str">
        <f t="shared" si="16"/>
        <v>Normal</v>
      </c>
      <c r="U145" t="str">
        <f t="shared" si="17"/>
        <v>2025-04</v>
      </c>
    </row>
    <row r="146" spans="1:21" x14ac:dyDescent="0.35">
      <c r="A146" t="s">
        <v>158</v>
      </c>
      <c r="B146" t="s">
        <v>655</v>
      </c>
      <c r="C146" t="s">
        <v>1147</v>
      </c>
      <c r="D146" t="s">
        <v>1505</v>
      </c>
      <c r="E146" s="9" t="s">
        <v>1507</v>
      </c>
      <c r="F146" s="9" t="s">
        <v>1511</v>
      </c>
      <c r="G146" s="7">
        <v>45650</v>
      </c>
      <c r="H146" s="5">
        <v>146</v>
      </c>
      <c r="I146" s="3">
        <v>0</v>
      </c>
      <c r="J146" t="s">
        <v>1516</v>
      </c>
      <c r="K146" t="s">
        <v>1521</v>
      </c>
      <c r="L146" t="s">
        <v>1525</v>
      </c>
      <c r="M146">
        <v>28</v>
      </c>
      <c r="N146" t="s">
        <v>1528</v>
      </c>
      <c r="O146">
        <f t="shared" si="12"/>
        <v>2024</v>
      </c>
      <c r="P146">
        <f t="shared" si="13"/>
        <v>12</v>
      </c>
      <c r="Q146" s="3">
        <f t="shared" si="14"/>
        <v>5.7247191011235934</v>
      </c>
      <c r="R146">
        <f t="shared" si="15"/>
        <v>1</v>
      </c>
      <c r="S146" t="str">
        <f t="shared" si="16"/>
        <v>Normal</v>
      </c>
      <c r="U146" t="str">
        <f t="shared" si="17"/>
        <v>2024-12</v>
      </c>
    </row>
    <row r="147" spans="1:21" x14ac:dyDescent="0.35">
      <c r="A147" t="s">
        <v>159</v>
      </c>
      <c r="B147" t="s">
        <v>656</v>
      </c>
      <c r="C147" t="s">
        <v>1148</v>
      </c>
      <c r="D147" t="s">
        <v>1505</v>
      </c>
      <c r="E147" s="9" t="s">
        <v>1507</v>
      </c>
      <c r="F147" s="9" t="s">
        <v>1512</v>
      </c>
      <c r="G147" s="7">
        <v>45713</v>
      </c>
      <c r="H147" s="5">
        <v>18</v>
      </c>
      <c r="I147" s="3">
        <v>0</v>
      </c>
      <c r="J147" t="s">
        <v>1516</v>
      </c>
      <c r="K147" t="s">
        <v>1521</v>
      </c>
      <c r="L147" t="s">
        <v>1525</v>
      </c>
      <c r="M147">
        <v>47</v>
      </c>
      <c r="N147" t="s">
        <v>1528</v>
      </c>
      <c r="O147">
        <f t="shared" si="12"/>
        <v>2025</v>
      </c>
      <c r="P147">
        <f t="shared" si="13"/>
        <v>2</v>
      </c>
      <c r="Q147" s="3">
        <f t="shared" si="14"/>
        <v>5.7408450704225329</v>
      </c>
      <c r="R147">
        <f t="shared" si="15"/>
        <v>1</v>
      </c>
      <c r="S147" t="str">
        <f t="shared" si="16"/>
        <v>Normal</v>
      </c>
      <c r="U147" t="str">
        <f t="shared" si="17"/>
        <v>2025-02</v>
      </c>
    </row>
    <row r="148" spans="1:21" x14ac:dyDescent="0.35">
      <c r="A148" t="s">
        <v>160</v>
      </c>
      <c r="B148" t="s">
        <v>657</v>
      </c>
      <c r="C148" t="s">
        <v>1149</v>
      </c>
      <c r="D148" t="s">
        <v>1504</v>
      </c>
      <c r="E148" s="9" t="s">
        <v>1509</v>
      </c>
      <c r="F148" s="9" t="s">
        <v>1512</v>
      </c>
      <c r="G148" s="7">
        <v>45770</v>
      </c>
      <c r="H148" s="5">
        <v>136</v>
      </c>
      <c r="I148" s="3">
        <v>0</v>
      </c>
      <c r="J148" t="s">
        <v>1516</v>
      </c>
      <c r="K148" t="s">
        <v>1521</v>
      </c>
      <c r="L148" t="s">
        <v>1525</v>
      </c>
      <c r="M148">
        <v>23</v>
      </c>
      <c r="N148" t="s">
        <v>1528</v>
      </c>
      <c r="O148">
        <f t="shared" si="12"/>
        <v>2025</v>
      </c>
      <c r="P148">
        <f t="shared" si="13"/>
        <v>4</v>
      </c>
      <c r="Q148" s="3">
        <f t="shared" si="14"/>
        <v>5.7570621468926531</v>
      </c>
      <c r="R148">
        <f t="shared" si="15"/>
        <v>1</v>
      </c>
      <c r="S148" t="str">
        <f t="shared" si="16"/>
        <v>Normal</v>
      </c>
      <c r="U148" t="str">
        <f t="shared" si="17"/>
        <v>2025-04</v>
      </c>
    </row>
    <row r="149" spans="1:21" x14ac:dyDescent="0.35">
      <c r="A149" t="s">
        <v>161</v>
      </c>
      <c r="B149" t="s">
        <v>658</v>
      </c>
      <c r="C149" t="s">
        <v>1150</v>
      </c>
      <c r="D149" t="s">
        <v>1506</v>
      </c>
      <c r="E149" s="9" t="s">
        <v>1507</v>
      </c>
      <c r="F149" s="9" t="s">
        <v>1510</v>
      </c>
      <c r="G149" s="7">
        <v>45683</v>
      </c>
      <c r="H149" s="5">
        <v>99</v>
      </c>
      <c r="I149" s="3">
        <v>0</v>
      </c>
      <c r="J149" t="s">
        <v>1516</v>
      </c>
      <c r="K149" t="s">
        <v>1521</v>
      </c>
      <c r="L149" t="s">
        <v>1525</v>
      </c>
      <c r="M149">
        <v>2</v>
      </c>
      <c r="N149" t="s">
        <v>1528</v>
      </c>
      <c r="O149">
        <f t="shared" si="12"/>
        <v>2025</v>
      </c>
      <c r="P149">
        <f t="shared" si="13"/>
        <v>1</v>
      </c>
      <c r="Q149" s="3">
        <f t="shared" si="14"/>
        <v>5.7733711048158618</v>
      </c>
      <c r="R149">
        <f t="shared" si="15"/>
        <v>1</v>
      </c>
      <c r="S149" t="str">
        <f t="shared" si="16"/>
        <v>Normal</v>
      </c>
      <c r="U149" t="str">
        <f t="shared" si="17"/>
        <v>2025-01</v>
      </c>
    </row>
    <row r="150" spans="1:21" x14ac:dyDescent="0.35">
      <c r="A150" t="s">
        <v>162</v>
      </c>
      <c r="B150" t="s">
        <v>659</v>
      </c>
      <c r="C150" t="s">
        <v>1151</v>
      </c>
      <c r="D150" t="s">
        <v>1506</v>
      </c>
      <c r="E150" s="9" t="s">
        <v>1508</v>
      </c>
      <c r="F150" s="9" t="s">
        <v>1511</v>
      </c>
      <c r="G150" s="7">
        <v>45693</v>
      </c>
      <c r="H150" s="5">
        <v>133</v>
      </c>
      <c r="I150" s="3">
        <v>0</v>
      </c>
      <c r="J150" t="s">
        <v>1516</v>
      </c>
      <c r="K150" t="s">
        <v>1521</v>
      </c>
      <c r="L150" t="s">
        <v>1525</v>
      </c>
      <c r="M150">
        <v>26</v>
      </c>
      <c r="N150" t="s">
        <v>1528</v>
      </c>
      <c r="O150">
        <f t="shared" si="12"/>
        <v>2025</v>
      </c>
      <c r="P150">
        <f t="shared" si="13"/>
        <v>2</v>
      </c>
      <c r="Q150" s="3">
        <f t="shared" si="14"/>
        <v>5.7897727272727257</v>
      </c>
      <c r="R150">
        <f t="shared" si="15"/>
        <v>1</v>
      </c>
      <c r="S150" t="str">
        <f t="shared" si="16"/>
        <v>Normal</v>
      </c>
      <c r="U150" t="str">
        <f t="shared" si="17"/>
        <v>2025-02</v>
      </c>
    </row>
    <row r="151" spans="1:21" x14ac:dyDescent="0.35">
      <c r="A151" t="s">
        <v>163</v>
      </c>
      <c r="B151" t="s">
        <v>660</v>
      </c>
      <c r="C151" t="s">
        <v>1152</v>
      </c>
      <c r="D151" t="s">
        <v>1502</v>
      </c>
      <c r="E151" s="9" t="s">
        <v>1507</v>
      </c>
      <c r="F151" s="9" t="s">
        <v>1511</v>
      </c>
      <c r="G151" s="7">
        <v>45728</v>
      </c>
      <c r="H151" s="5">
        <v>54</v>
      </c>
      <c r="I151" s="3">
        <v>0</v>
      </c>
      <c r="J151" t="s">
        <v>1516</v>
      </c>
      <c r="K151" t="s">
        <v>1521</v>
      </c>
      <c r="L151" t="s">
        <v>1525</v>
      </c>
      <c r="M151">
        <v>5</v>
      </c>
      <c r="N151" t="s">
        <v>1528</v>
      </c>
      <c r="O151">
        <f t="shared" si="12"/>
        <v>2025</v>
      </c>
      <c r="P151">
        <f t="shared" si="13"/>
        <v>3</v>
      </c>
      <c r="Q151" s="3">
        <f t="shared" si="14"/>
        <v>5.8062678062678046</v>
      </c>
      <c r="R151">
        <f t="shared" si="15"/>
        <v>1</v>
      </c>
      <c r="S151" t="str">
        <f t="shared" si="16"/>
        <v>Normal</v>
      </c>
      <c r="U151" t="str">
        <f t="shared" si="17"/>
        <v>2025-03</v>
      </c>
    </row>
    <row r="152" spans="1:21" x14ac:dyDescent="0.35">
      <c r="A152" t="s">
        <v>164</v>
      </c>
      <c r="B152" t="s">
        <v>661</v>
      </c>
      <c r="C152" t="s">
        <v>1153</v>
      </c>
      <c r="D152" t="s">
        <v>1506</v>
      </c>
      <c r="E152" s="9" t="s">
        <v>1509</v>
      </c>
      <c r="F152" s="9" t="s">
        <v>1512</v>
      </c>
      <c r="G152" s="7">
        <v>45666</v>
      </c>
      <c r="H152" s="5">
        <v>169</v>
      </c>
      <c r="I152" s="3">
        <v>0</v>
      </c>
      <c r="J152" t="s">
        <v>1516</v>
      </c>
      <c r="K152" t="s">
        <v>1521</v>
      </c>
      <c r="L152" t="s">
        <v>1525</v>
      </c>
      <c r="M152">
        <v>30</v>
      </c>
      <c r="N152" t="s">
        <v>1527</v>
      </c>
      <c r="O152">
        <f t="shared" si="12"/>
        <v>2025</v>
      </c>
      <c r="P152">
        <f t="shared" si="13"/>
        <v>1</v>
      </c>
      <c r="Q152" s="3">
        <f t="shared" si="14"/>
        <v>5.8228571428571412</v>
      </c>
      <c r="R152">
        <f t="shared" si="15"/>
        <v>1</v>
      </c>
      <c r="S152" t="str">
        <f t="shared" si="16"/>
        <v>Normal</v>
      </c>
      <c r="U152" t="str">
        <f t="shared" si="17"/>
        <v>2025-01</v>
      </c>
    </row>
    <row r="153" spans="1:21" x14ac:dyDescent="0.35">
      <c r="A153" t="s">
        <v>165</v>
      </c>
      <c r="B153" t="s">
        <v>662</v>
      </c>
      <c r="C153" t="s">
        <v>1154</v>
      </c>
      <c r="D153" t="s">
        <v>1506</v>
      </c>
      <c r="E153" s="9" t="s">
        <v>1507</v>
      </c>
      <c r="F153" s="9" t="s">
        <v>1515</v>
      </c>
      <c r="G153" s="7">
        <v>45737</v>
      </c>
      <c r="H153" s="5">
        <v>8</v>
      </c>
      <c r="I153" s="3">
        <v>39.119999999999997</v>
      </c>
      <c r="J153" t="s">
        <v>1517</v>
      </c>
      <c r="K153" t="s">
        <v>1521</v>
      </c>
      <c r="L153" t="s">
        <v>1526</v>
      </c>
      <c r="M153">
        <v>48</v>
      </c>
      <c r="N153" t="s">
        <v>1528</v>
      </c>
      <c r="O153">
        <f t="shared" si="12"/>
        <v>2025</v>
      </c>
      <c r="P153">
        <f t="shared" si="13"/>
        <v>3</v>
      </c>
      <c r="Q153" s="3">
        <f t="shared" si="14"/>
        <v>5.8395415472779346</v>
      </c>
      <c r="R153">
        <f t="shared" si="15"/>
        <v>1</v>
      </c>
      <c r="S153" t="str">
        <f t="shared" si="16"/>
        <v>Normal</v>
      </c>
      <c r="U153" t="str">
        <f t="shared" si="17"/>
        <v>2025-03</v>
      </c>
    </row>
    <row r="154" spans="1:21" x14ac:dyDescent="0.35">
      <c r="A154" t="s">
        <v>166</v>
      </c>
      <c r="B154" t="s">
        <v>663</v>
      </c>
      <c r="C154" t="s">
        <v>1155</v>
      </c>
      <c r="D154" t="s">
        <v>1505</v>
      </c>
      <c r="E154" s="9" t="s">
        <v>1507</v>
      </c>
      <c r="F154" s="9" t="s">
        <v>1515</v>
      </c>
      <c r="G154" s="7">
        <v>45695</v>
      </c>
      <c r="H154" s="5">
        <v>27</v>
      </c>
      <c r="I154" s="3">
        <v>2.64</v>
      </c>
      <c r="J154" t="s">
        <v>1518</v>
      </c>
      <c r="K154" t="s">
        <v>1521</v>
      </c>
      <c r="L154" t="s">
        <v>1526</v>
      </c>
      <c r="M154">
        <v>3</v>
      </c>
      <c r="N154" t="s">
        <v>1528</v>
      </c>
      <c r="O154">
        <f t="shared" si="12"/>
        <v>2025</v>
      </c>
      <c r="P154">
        <f t="shared" si="13"/>
        <v>2</v>
      </c>
      <c r="Q154" s="3">
        <f t="shared" si="14"/>
        <v>5.74390804597701</v>
      </c>
      <c r="R154">
        <f t="shared" si="15"/>
        <v>1</v>
      </c>
      <c r="S154" t="str">
        <f t="shared" si="16"/>
        <v>Normal</v>
      </c>
      <c r="U154" t="str">
        <f t="shared" si="17"/>
        <v>2025-02</v>
      </c>
    </row>
    <row r="155" spans="1:21" x14ac:dyDescent="0.35">
      <c r="A155" t="s">
        <v>167</v>
      </c>
      <c r="B155" t="s">
        <v>664</v>
      </c>
      <c r="C155" t="s">
        <v>1156</v>
      </c>
      <c r="D155" t="s">
        <v>1502</v>
      </c>
      <c r="E155" s="9" t="s">
        <v>1508</v>
      </c>
      <c r="F155" s="9" t="s">
        <v>1515</v>
      </c>
      <c r="G155" s="7">
        <v>45721</v>
      </c>
      <c r="H155" s="5">
        <v>118</v>
      </c>
      <c r="I155" s="3">
        <v>46.55</v>
      </c>
      <c r="J155" t="s">
        <v>1519</v>
      </c>
      <c r="K155" t="s">
        <v>1521</v>
      </c>
      <c r="L155" t="s">
        <v>1526</v>
      </c>
      <c r="M155">
        <v>45</v>
      </c>
      <c r="N155" t="s">
        <v>1527</v>
      </c>
      <c r="O155">
        <f t="shared" si="12"/>
        <v>2025</v>
      </c>
      <c r="P155">
        <f t="shared" si="13"/>
        <v>3</v>
      </c>
      <c r="Q155" s="3">
        <f t="shared" si="14"/>
        <v>5.7528530259365978</v>
      </c>
      <c r="R155">
        <f t="shared" si="15"/>
        <v>1</v>
      </c>
      <c r="S155" t="str">
        <f t="shared" si="16"/>
        <v>Normal</v>
      </c>
      <c r="U155" t="str">
        <f t="shared" si="17"/>
        <v>2025-03</v>
      </c>
    </row>
    <row r="156" spans="1:21" x14ac:dyDescent="0.35">
      <c r="A156" t="s">
        <v>168</v>
      </c>
      <c r="B156" t="s">
        <v>665</v>
      </c>
      <c r="C156" t="s">
        <v>1157</v>
      </c>
      <c r="D156" t="s">
        <v>1503</v>
      </c>
      <c r="E156" s="9" t="s">
        <v>1508</v>
      </c>
      <c r="F156" s="9" t="s">
        <v>1513</v>
      </c>
      <c r="G156" s="7">
        <v>45792</v>
      </c>
      <c r="H156" s="5">
        <v>171</v>
      </c>
      <c r="I156" s="3">
        <v>18.03</v>
      </c>
      <c r="J156" t="s">
        <v>1520</v>
      </c>
      <c r="K156" t="s">
        <v>1521</v>
      </c>
      <c r="L156" t="s">
        <v>1526</v>
      </c>
      <c r="M156">
        <v>43</v>
      </c>
      <c r="N156" t="s">
        <v>1527</v>
      </c>
      <c r="O156">
        <f t="shared" si="12"/>
        <v>2025</v>
      </c>
      <c r="P156">
        <f t="shared" si="13"/>
        <v>5</v>
      </c>
      <c r="Q156" s="3">
        <f t="shared" si="14"/>
        <v>5.6349421965317905</v>
      </c>
      <c r="R156">
        <f t="shared" si="15"/>
        <v>1</v>
      </c>
      <c r="S156" t="str">
        <f t="shared" si="16"/>
        <v>Normal</v>
      </c>
      <c r="U156" t="str">
        <f t="shared" si="17"/>
        <v>2025-05</v>
      </c>
    </row>
    <row r="157" spans="1:21" x14ac:dyDescent="0.35">
      <c r="A157" t="s">
        <v>169</v>
      </c>
      <c r="B157" t="s">
        <v>666</v>
      </c>
      <c r="C157" t="s">
        <v>1158</v>
      </c>
      <c r="D157" t="s">
        <v>1505</v>
      </c>
      <c r="E157" s="9" t="s">
        <v>1508</v>
      </c>
      <c r="F157" s="9" t="s">
        <v>1512</v>
      </c>
      <c r="G157" s="7">
        <v>45756</v>
      </c>
      <c r="H157" s="5">
        <v>55</v>
      </c>
      <c r="I157" s="3">
        <v>0</v>
      </c>
      <c r="J157" t="s">
        <v>1516</v>
      </c>
      <c r="K157" t="s">
        <v>1521</v>
      </c>
      <c r="L157" t="s">
        <v>1525</v>
      </c>
      <c r="M157">
        <v>29</v>
      </c>
      <c r="N157" t="s">
        <v>1528</v>
      </c>
      <c r="O157">
        <f t="shared" si="12"/>
        <v>2025</v>
      </c>
      <c r="P157">
        <f t="shared" si="13"/>
        <v>4</v>
      </c>
      <c r="Q157" s="3">
        <f t="shared" si="14"/>
        <v>5.5990144927536214</v>
      </c>
      <c r="R157">
        <f t="shared" si="15"/>
        <v>1</v>
      </c>
      <c r="S157" t="str">
        <f t="shared" si="16"/>
        <v>Normal</v>
      </c>
      <c r="U157" t="str">
        <f t="shared" si="17"/>
        <v>2025-04</v>
      </c>
    </row>
    <row r="158" spans="1:21" x14ac:dyDescent="0.35">
      <c r="A158" t="s">
        <v>170</v>
      </c>
      <c r="B158" t="s">
        <v>667</v>
      </c>
      <c r="C158" t="s">
        <v>1159</v>
      </c>
      <c r="D158" t="s">
        <v>1502</v>
      </c>
      <c r="E158" s="9" t="s">
        <v>1507</v>
      </c>
      <c r="F158" s="9" t="s">
        <v>1513</v>
      </c>
      <c r="G158" s="7">
        <v>45709</v>
      </c>
      <c r="H158" s="5">
        <v>37</v>
      </c>
      <c r="I158" s="3">
        <v>0</v>
      </c>
      <c r="J158" t="s">
        <v>1516</v>
      </c>
      <c r="K158" t="s">
        <v>1523</v>
      </c>
      <c r="L158" t="s">
        <v>1525</v>
      </c>
      <c r="M158">
        <v>1</v>
      </c>
      <c r="N158" t="s">
        <v>1528</v>
      </c>
      <c r="O158">
        <f t="shared" si="12"/>
        <v>2025</v>
      </c>
      <c r="P158">
        <f t="shared" si="13"/>
        <v>2</v>
      </c>
      <c r="Q158" s="3">
        <f t="shared" si="14"/>
        <v>5.6152906976744168</v>
      </c>
      <c r="R158">
        <f t="shared" si="15"/>
        <v>0</v>
      </c>
      <c r="S158" t="str">
        <f t="shared" si="16"/>
        <v>Normal</v>
      </c>
      <c r="U158" t="str">
        <f t="shared" si="17"/>
        <v>2025-02</v>
      </c>
    </row>
    <row r="159" spans="1:21" x14ac:dyDescent="0.35">
      <c r="A159" t="s">
        <v>171</v>
      </c>
      <c r="B159" t="s">
        <v>668</v>
      </c>
      <c r="C159" t="s">
        <v>1160</v>
      </c>
      <c r="D159" t="s">
        <v>1506</v>
      </c>
      <c r="E159" s="9" t="s">
        <v>1507</v>
      </c>
      <c r="F159" s="9" t="s">
        <v>1515</v>
      </c>
      <c r="G159" s="7">
        <v>45700</v>
      </c>
      <c r="H159" s="5">
        <v>79</v>
      </c>
      <c r="I159" s="3">
        <v>0</v>
      </c>
      <c r="J159" t="s">
        <v>1516</v>
      </c>
      <c r="K159" t="s">
        <v>1521</v>
      </c>
      <c r="L159" t="s">
        <v>1525</v>
      </c>
      <c r="M159">
        <v>44</v>
      </c>
      <c r="N159" t="s">
        <v>1528</v>
      </c>
      <c r="O159">
        <f t="shared" si="12"/>
        <v>2025</v>
      </c>
      <c r="P159">
        <f t="shared" si="13"/>
        <v>2</v>
      </c>
      <c r="Q159" s="3">
        <f t="shared" si="14"/>
        <v>5.6316618075801728</v>
      </c>
      <c r="R159">
        <f t="shared" si="15"/>
        <v>1</v>
      </c>
      <c r="S159" t="str">
        <f t="shared" si="16"/>
        <v>Normal</v>
      </c>
      <c r="U159" t="str">
        <f t="shared" si="17"/>
        <v>2025-02</v>
      </c>
    </row>
    <row r="160" spans="1:21" x14ac:dyDescent="0.35">
      <c r="A160" t="s">
        <v>172</v>
      </c>
      <c r="B160" t="s">
        <v>669</v>
      </c>
      <c r="C160" t="s">
        <v>1161</v>
      </c>
      <c r="D160" t="s">
        <v>1505</v>
      </c>
      <c r="E160" s="9" t="s">
        <v>1507</v>
      </c>
      <c r="F160" s="9" t="s">
        <v>1514</v>
      </c>
      <c r="G160" s="7">
        <v>45690</v>
      </c>
      <c r="H160" s="5">
        <v>50</v>
      </c>
      <c r="I160" s="3">
        <v>0</v>
      </c>
      <c r="J160" t="s">
        <v>1516</v>
      </c>
      <c r="K160" t="s">
        <v>1521</v>
      </c>
      <c r="L160" t="s">
        <v>1525</v>
      </c>
      <c r="M160">
        <v>21</v>
      </c>
      <c r="N160" t="s">
        <v>1528</v>
      </c>
      <c r="O160">
        <f t="shared" si="12"/>
        <v>2025</v>
      </c>
      <c r="P160">
        <f t="shared" si="13"/>
        <v>2</v>
      </c>
      <c r="Q160" s="3">
        <f t="shared" si="14"/>
        <v>5.6481286549707583</v>
      </c>
      <c r="R160">
        <f t="shared" si="15"/>
        <v>1</v>
      </c>
      <c r="S160" t="str">
        <f t="shared" si="16"/>
        <v>Normal</v>
      </c>
      <c r="U160" t="str">
        <f t="shared" si="17"/>
        <v>2025-02</v>
      </c>
    </row>
    <row r="161" spans="1:21" x14ac:dyDescent="0.35">
      <c r="A161" t="s">
        <v>173</v>
      </c>
      <c r="B161" t="s">
        <v>670</v>
      </c>
      <c r="C161" t="s">
        <v>1162</v>
      </c>
      <c r="D161" t="s">
        <v>1506</v>
      </c>
      <c r="E161" s="9" t="s">
        <v>1508</v>
      </c>
      <c r="F161" s="9" t="s">
        <v>1512</v>
      </c>
      <c r="G161" s="7">
        <v>45700</v>
      </c>
      <c r="H161" s="5">
        <v>57</v>
      </c>
      <c r="I161" s="3">
        <v>0</v>
      </c>
      <c r="J161" t="s">
        <v>1516</v>
      </c>
      <c r="K161" t="s">
        <v>1521</v>
      </c>
      <c r="L161" t="s">
        <v>1525</v>
      </c>
      <c r="M161">
        <v>13</v>
      </c>
      <c r="N161" t="s">
        <v>1528</v>
      </c>
      <c r="O161">
        <f t="shared" si="12"/>
        <v>2025</v>
      </c>
      <c r="P161">
        <f t="shared" si="13"/>
        <v>2</v>
      </c>
      <c r="Q161" s="3">
        <f t="shared" si="14"/>
        <v>5.6646920821114355</v>
      </c>
      <c r="R161">
        <f t="shared" si="15"/>
        <v>1</v>
      </c>
      <c r="S161" t="str">
        <f t="shared" si="16"/>
        <v>Normal</v>
      </c>
      <c r="U161" t="str">
        <f t="shared" si="17"/>
        <v>2025-02</v>
      </c>
    </row>
    <row r="162" spans="1:21" x14ac:dyDescent="0.35">
      <c r="A162" t="s">
        <v>174</v>
      </c>
      <c r="B162" t="s">
        <v>671</v>
      </c>
      <c r="C162" t="s">
        <v>1163</v>
      </c>
      <c r="D162" t="s">
        <v>1503</v>
      </c>
      <c r="E162" s="9" t="s">
        <v>1507</v>
      </c>
      <c r="F162" s="9" t="s">
        <v>1515</v>
      </c>
      <c r="G162" s="7">
        <v>45765</v>
      </c>
      <c r="H162" s="5">
        <v>116</v>
      </c>
      <c r="I162" s="3">
        <v>17.05</v>
      </c>
      <c r="J162" t="s">
        <v>1518</v>
      </c>
      <c r="K162" t="s">
        <v>1523</v>
      </c>
      <c r="L162" t="s">
        <v>1526</v>
      </c>
      <c r="M162">
        <v>17</v>
      </c>
      <c r="N162" t="s">
        <v>1528</v>
      </c>
      <c r="O162">
        <f t="shared" si="12"/>
        <v>2025</v>
      </c>
      <c r="P162">
        <f t="shared" si="13"/>
        <v>4</v>
      </c>
      <c r="Q162" s="3">
        <f t="shared" si="14"/>
        <v>5.6813529411764687</v>
      </c>
      <c r="R162">
        <f t="shared" si="15"/>
        <v>0</v>
      </c>
      <c r="S162" t="str">
        <f t="shared" si="16"/>
        <v>Normal</v>
      </c>
      <c r="U162" t="str">
        <f t="shared" si="17"/>
        <v>2025-04</v>
      </c>
    </row>
    <row r="163" spans="1:21" x14ac:dyDescent="0.35">
      <c r="A163" t="s">
        <v>175</v>
      </c>
      <c r="B163" t="s">
        <v>672</v>
      </c>
      <c r="C163" t="s">
        <v>1164</v>
      </c>
      <c r="D163" t="s">
        <v>1506</v>
      </c>
      <c r="E163" s="9" t="s">
        <v>1508</v>
      </c>
      <c r="F163" s="9" t="s">
        <v>1513</v>
      </c>
      <c r="G163" s="7">
        <v>45701</v>
      </c>
      <c r="H163" s="5">
        <v>8</v>
      </c>
      <c r="I163" s="3">
        <v>0</v>
      </c>
      <c r="J163" t="s">
        <v>1516</v>
      </c>
      <c r="K163" t="s">
        <v>1523</v>
      </c>
      <c r="L163" t="s">
        <v>1525</v>
      </c>
      <c r="M163">
        <v>31</v>
      </c>
      <c r="N163" t="s">
        <v>1528</v>
      </c>
      <c r="O163">
        <f t="shared" si="12"/>
        <v>2025</v>
      </c>
      <c r="P163">
        <f t="shared" si="13"/>
        <v>2</v>
      </c>
      <c r="Q163" s="3">
        <f t="shared" si="14"/>
        <v>5.6478171091445413</v>
      </c>
      <c r="R163">
        <f t="shared" si="15"/>
        <v>0</v>
      </c>
      <c r="S163" t="str">
        <f t="shared" si="16"/>
        <v>Normal</v>
      </c>
      <c r="U163" t="str">
        <f t="shared" si="17"/>
        <v>2025-02</v>
      </c>
    </row>
    <row r="164" spans="1:21" x14ac:dyDescent="0.35">
      <c r="A164" t="s">
        <v>176</v>
      </c>
      <c r="B164" t="s">
        <v>673</v>
      </c>
      <c r="C164" t="s">
        <v>1165</v>
      </c>
      <c r="D164" t="s">
        <v>1505</v>
      </c>
      <c r="E164" s="9" t="s">
        <v>1507</v>
      </c>
      <c r="F164" s="9" t="s">
        <v>1513</v>
      </c>
      <c r="G164" s="7">
        <v>45658</v>
      </c>
      <c r="H164" s="5">
        <v>38</v>
      </c>
      <c r="I164" s="3">
        <v>0</v>
      </c>
      <c r="J164" t="s">
        <v>1516</v>
      </c>
      <c r="K164" t="s">
        <v>1521</v>
      </c>
      <c r="L164" t="s">
        <v>1525</v>
      </c>
      <c r="M164">
        <v>21</v>
      </c>
      <c r="N164" t="s">
        <v>1528</v>
      </c>
      <c r="O164">
        <f t="shared" si="12"/>
        <v>2025</v>
      </c>
      <c r="P164">
        <f t="shared" si="13"/>
        <v>1</v>
      </c>
      <c r="Q164" s="3">
        <f t="shared" si="14"/>
        <v>5.6645266272189332</v>
      </c>
      <c r="R164">
        <f t="shared" si="15"/>
        <v>1</v>
      </c>
      <c r="S164" t="str">
        <f t="shared" si="16"/>
        <v>Normal</v>
      </c>
      <c r="U164" t="str">
        <f t="shared" si="17"/>
        <v>2025-01</v>
      </c>
    </row>
    <row r="165" spans="1:21" x14ac:dyDescent="0.35">
      <c r="A165" t="s">
        <v>177</v>
      </c>
      <c r="B165" t="s">
        <v>674</v>
      </c>
      <c r="C165" t="s">
        <v>1166</v>
      </c>
      <c r="D165" t="s">
        <v>1502</v>
      </c>
      <c r="E165" s="9" t="s">
        <v>1509</v>
      </c>
      <c r="F165" s="9" t="s">
        <v>1513</v>
      </c>
      <c r="G165" s="7">
        <v>45782</v>
      </c>
      <c r="H165" s="5">
        <v>94</v>
      </c>
      <c r="I165" s="3">
        <v>0</v>
      </c>
      <c r="J165" t="s">
        <v>1516</v>
      </c>
      <c r="K165" t="s">
        <v>1523</v>
      </c>
      <c r="L165" t="s">
        <v>1525</v>
      </c>
      <c r="M165">
        <v>23</v>
      </c>
      <c r="N165" t="s">
        <v>1528</v>
      </c>
      <c r="O165">
        <f t="shared" si="12"/>
        <v>2025</v>
      </c>
      <c r="P165">
        <f t="shared" si="13"/>
        <v>5</v>
      </c>
      <c r="Q165" s="3">
        <f t="shared" si="14"/>
        <v>5.681335311572699</v>
      </c>
      <c r="R165">
        <f t="shared" si="15"/>
        <v>0</v>
      </c>
      <c r="S165" t="str">
        <f t="shared" si="16"/>
        <v>Normal</v>
      </c>
      <c r="U165" t="str">
        <f t="shared" si="17"/>
        <v>2025-05</v>
      </c>
    </row>
    <row r="166" spans="1:21" x14ac:dyDescent="0.35">
      <c r="A166" t="s">
        <v>178</v>
      </c>
      <c r="B166" t="s">
        <v>675</v>
      </c>
      <c r="C166" t="s">
        <v>1167</v>
      </c>
      <c r="D166" t="s">
        <v>1502</v>
      </c>
      <c r="E166" s="9" t="s">
        <v>1509</v>
      </c>
      <c r="F166" s="9" t="s">
        <v>1510</v>
      </c>
      <c r="G166" s="7">
        <v>45738</v>
      </c>
      <c r="H166" s="5">
        <v>139</v>
      </c>
      <c r="I166" s="3">
        <v>0</v>
      </c>
      <c r="J166" t="s">
        <v>1516</v>
      </c>
      <c r="K166" t="s">
        <v>1521</v>
      </c>
      <c r="L166" t="s">
        <v>1525</v>
      </c>
      <c r="M166">
        <v>26</v>
      </c>
      <c r="N166" t="s">
        <v>1528</v>
      </c>
      <c r="O166">
        <f t="shared" si="12"/>
        <v>2025</v>
      </c>
      <c r="P166">
        <f t="shared" si="13"/>
        <v>3</v>
      </c>
      <c r="Q166" s="3">
        <f t="shared" si="14"/>
        <v>5.6982440476190463</v>
      </c>
      <c r="R166">
        <f t="shared" si="15"/>
        <v>1</v>
      </c>
      <c r="S166" t="str">
        <f t="shared" si="16"/>
        <v>Normal</v>
      </c>
      <c r="U166" t="str">
        <f t="shared" si="17"/>
        <v>2025-03</v>
      </c>
    </row>
    <row r="167" spans="1:21" x14ac:dyDescent="0.35">
      <c r="A167" t="s">
        <v>179</v>
      </c>
      <c r="B167" t="s">
        <v>676</v>
      </c>
      <c r="C167" t="s">
        <v>1168</v>
      </c>
      <c r="D167" t="s">
        <v>1502</v>
      </c>
      <c r="E167" s="9" t="s">
        <v>1507</v>
      </c>
      <c r="F167" s="9" t="s">
        <v>1510</v>
      </c>
      <c r="G167" s="7">
        <v>45794</v>
      </c>
      <c r="H167" s="5">
        <v>153</v>
      </c>
      <c r="I167" s="3">
        <v>0</v>
      </c>
      <c r="J167" t="s">
        <v>1516</v>
      </c>
      <c r="K167" t="s">
        <v>1521</v>
      </c>
      <c r="L167" t="s">
        <v>1525</v>
      </c>
      <c r="M167">
        <v>45</v>
      </c>
      <c r="N167" t="s">
        <v>1527</v>
      </c>
      <c r="O167">
        <f t="shared" si="12"/>
        <v>2025</v>
      </c>
      <c r="P167">
        <f t="shared" si="13"/>
        <v>5</v>
      </c>
      <c r="Q167" s="3">
        <f t="shared" si="14"/>
        <v>5.7152537313432816</v>
      </c>
      <c r="R167">
        <f t="shared" si="15"/>
        <v>1</v>
      </c>
      <c r="S167" t="str">
        <f t="shared" si="16"/>
        <v>Normal</v>
      </c>
      <c r="U167" t="str">
        <f t="shared" si="17"/>
        <v>2025-05</v>
      </c>
    </row>
    <row r="168" spans="1:21" x14ac:dyDescent="0.35">
      <c r="A168" t="s">
        <v>180</v>
      </c>
      <c r="B168" t="s">
        <v>677</v>
      </c>
      <c r="C168" t="s">
        <v>1169</v>
      </c>
      <c r="D168" t="s">
        <v>1502</v>
      </c>
      <c r="E168" s="9" t="s">
        <v>1508</v>
      </c>
      <c r="F168" s="9" t="s">
        <v>1515</v>
      </c>
      <c r="G168" s="7">
        <v>45763</v>
      </c>
      <c r="H168" s="5">
        <v>116</v>
      </c>
      <c r="I168" s="3">
        <v>47.47</v>
      </c>
      <c r="J168" t="s">
        <v>1518</v>
      </c>
      <c r="K168" t="s">
        <v>1521</v>
      </c>
      <c r="L168" t="s">
        <v>1526</v>
      </c>
      <c r="M168">
        <v>1</v>
      </c>
      <c r="N168" t="s">
        <v>1527</v>
      </c>
      <c r="O168">
        <f t="shared" si="12"/>
        <v>2025</v>
      </c>
      <c r="P168">
        <f t="shared" si="13"/>
        <v>4</v>
      </c>
      <c r="Q168" s="3">
        <f t="shared" si="14"/>
        <v>5.7323652694610763</v>
      </c>
      <c r="R168">
        <f t="shared" si="15"/>
        <v>1</v>
      </c>
      <c r="S168" t="str">
        <f t="shared" si="16"/>
        <v>Normal</v>
      </c>
      <c r="U168" t="str">
        <f t="shared" si="17"/>
        <v>2025-04</v>
      </c>
    </row>
    <row r="169" spans="1:21" x14ac:dyDescent="0.35">
      <c r="A169" t="s">
        <v>181</v>
      </c>
      <c r="B169" t="s">
        <v>678</v>
      </c>
      <c r="C169" t="s">
        <v>1170</v>
      </c>
      <c r="D169" t="s">
        <v>1504</v>
      </c>
      <c r="E169" s="9" t="s">
        <v>1509</v>
      </c>
      <c r="F169" s="9" t="s">
        <v>1513</v>
      </c>
      <c r="G169" s="7">
        <v>45725</v>
      </c>
      <c r="H169" s="5">
        <v>82</v>
      </c>
      <c r="I169" s="3">
        <v>0</v>
      </c>
      <c r="J169" t="s">
        <v>1516</v>
      </c>
      <c r="K169" t="s">
        <v>1523</v>
      </c>
      <c r="L169" t="s">
        <v>1525</v>
      </c>
      <c r="M169">
        <v>17</v>
      </c>
      <c r="N169" t="s">
        <v>1528</v>
      </c>
      <c r="O169">
        <f t="shared" si="12"/>
        <v>2025</v>
      </c>
      <c r="P169">
        <f t="shared" si="13"/>
        <v>3</v>
      </c>
      <c r="Q169" s="3">
        <f t="shared" si="14"/>
        <v>5.6070270270270264</v>
      </c>
      <c r="R169">
        <f t="shared" si="15"/>
        <v>0</v>
      </c>
      <c r="S169" t="str">
        <f t="shared" si="16"/>
        <v>Normal</v>
      </c>
      <c r="U169" t="str">
        <f t="shared" si="17"/>
        <v>2025-03</v>
      </c>
    </row>
    <row r="170" spans="1:21" x14ac:dyDescent="0.35">
      <c r="A170" t="s">
        <v>182</v>
      </c>
      <c r="B170" t="s">
        <v>679</v>
      </c>
      <c r="C170" t="s">
        <v>1171</v>
      </c>
      <c r="D170" t="s">
        <v>1504</v>
      </c>
      <c r="E170" s="9" t="s">
        <v>1508</v>
      </c>
      <c r="F170" s="9" t="s">
        <v>1512</v>
      </c>
      <c r="G170" s="7">
        <v>45762</v>
      </c>
      <c r="H170" s="5">
        <v>35</v>
      </c>
      <c r="I170" s="3">
        <v>0</v>
      </c>
      <c r="J170" t="s">
        <v>1516</v>
      </c>
      <c r="K170" t="s">
        <v>1521</v>
      </c>
      <c r="L170" t="s">
        <v>1525</v>
      </c>
      <c r="M170">
        <v>46</v>
      </c>
      <c r="N170" t="s">
        <v>1528</v>
      </c>
      <c r="O170">
        <f t="shared" si="12"/>
        <v>2025</v>
      </c>
      <c r="P170">
        <f t="shared" si="13"/>
        <v>4</v>
      </c>
      <c r="Q170" s="3">
        <f t="shared" si="14"/>
        <v>5.6239156626506013</v>
      </c>
      <c r="R170">
        <f t="shared" si="15"/>
        <v>1</v>
      </c>
      <c r="S170" t="str">
        <f t="shared" si="16"/>
        <v>Normal</v>
      </c>
      <c r="U170" t="str">
        <f t="shared" si="17"/>
        <v>2025-04</v>
      </c>
    </row>
    <row r="171" spans="1:21" x14ac:dyDescent="0.35">
      <c r="A171" t="s">
        <v>183</v>
      </c>
      <c r="B171" t="s">
        <v>680</v>
      </c>
      <c r="C171" t="s">
        <v>1172</v>
      </c>
      <c r="D171" t="s">
        <v>1503</v>
      </c>
      <c r="E171" s="9" t="s">
        <v>1509</v>
      </c>
      <c r="F171" s="9" t="s">
        <v>1515</v>
      </c>
      <c r="G171" s="7">
        <v>45816</v>
      </c>
      <c r="H171" s="5">
        <v>168</v>
      </c>
      <c r="I171" s="3">
        <v>0</v>
      </c>
      <c r="J171" t="s">
        <v>1516</v>
      </c>
      <c r="K171" t="s">
        <v>1521</v>
      </c>
      <c r="L171" t="s">
        <v>1525</v>
      </c>
      <c r="M171">
        <v>18</v>
      </c>
      <c r="N171" t="s">
        <v>1527</v>
      </c>
      <c r="O171">
        <f t="shared" si="12"/>
        <v>2025</v>
      </c>
      <c r="P171">
        <f t="shared" si="13"/>
        <v>6</v>
      </c>
      <c r="Q171" s="3">
        <f t="shared" si="14"/>
        <v>5.6409063444108751</v>
      </c>
      <c r="R171">
        <f t="shared" si="15"/>
        <v>1</v>
      </c>
      <c r="S171" t="str">
        <f t="shared" si="16"/>
        <v>Normal</v>
      </c>
      <c r="U171" t="str">
        <f t="shared" si="17"/>
        <v>2025-06</v>
      </c>
    </row>
    <row r="172" spans="1:21" x14ac:dyDescent="0.35">
      <c r="A172" t="s">
        <v>184</v>
      </c>
      <c r="B172" t="s">
        <v>681</v>
      </c>
      <c r="C172" t="s">
        <v>1173</v>
      </c>
      <c r="D172" t="s">
        <v>1505</v>
      </c>
      <c r="E172" s="9" t="s">
        <v>1507</v>
      </c>
      <c r="F172" s="9" t="s">
        <v>1513</v>
      </c>
      <c r="G172" s="7">
        <v>45756</v>
      </c>
      <c r="H172" s="5">
        <v>123</v>
      </c>
      <c r="I172" s="3">
        <v>0</v>
      </c>
      <c r="J172" t="s">
        <v>1516</v>
      </c>
      <c r="K172" t="s">
        <v>1522</v>
      </c>
      <c r="L172" t="s">
        <v>1526</v>
      </c>
      <c r="M172">
        <v>47</v>
      </c>
      <c r="N172" t="s">
        <v>1528</v>
      </c>
      <c r="O172">
        <f t="shared" si="12"/>
        <v>2025</v>
      </c>
      <c r="P172">
        <f t="shared" si="13"/>
        <v>4</v>
      </c>
      <c r="Q172" s="3">
        <f t="shared" si="14"/>
        <v>5.6579999999999986</v>
      </c>
      <c r="R172">
        <f t="shared" si="15"/>
        <v>0</v>
      </c>
      <c r="S172" t="str">
        <f t="shared" si="16"/>
        <v>Normal</v>
      </c>
      <c r="U172" t="str">
        <f t="shared" si="17"/>
        <v>2025-04</v>
      </c>
    </row>
    <row r="173" spans="1:21" x14ac:dyDescent="0.35">
      <c r="A173" t="s">
        <v>185</v>
      </c>
      <c r="B173" t="s">
        <v>682</v>
      </c>
      <c r="C173" t="s">
        <v>1174</v>
      </c>
      <c r="D173" t="s">
        <v>1505</v>
      </c>
      <c r="E173" s="9" t="s">
        <v>1508</v>
      </c>
      <c r="F173" s="9" t="s">
        <v>1515</v>
      </c>
      <c r="G173" s="7">
        <v>45790</v>
      </c>
      <c r="H173" s="5">
        <v>41</v>
      </c>
      <c r="I173" s="3">
        <v>33.29</v>
      </c>
      <c r="J173" t="s">
        <v>1517</v>
      </c>
      <c r="K173" t="s">
        <v>1521</v>
      </c>
      <c r="L173" t="s">
        <v>1526</v>
      </c>
      <c r="M173">
        <v>29</v>
      </c>
      <c r="N173" t="s">
        <v>1528</v>
      </c>
      <c r="O173">
        <f t="shared" si="12"/>
        <v>2025</v>
      </c>
      <c r="P173">
        <f t="shared" si="13"/>
        <v>5</v>
      </c>
      <c r="Q173" s="3">
        <f t="shared" si="14"/>
        <v>5.6751975683890565</v>
      </c>
      <c r="R173">
        <f t="shared" si="15"/>
        <v>1</v>
      </c>
      <c r="S173" t="str">
        <f t="shared" si="16"/>
        <v>Normal</v>
      </c>
      <c r="U173" t="str">
        <f t="shared" si="17"/>
        <v>2025-05</v>
      </c>
    </row>
    <row r="174" spans="1:21" x14ac:dyDescent="0.35">
      <c r="A174" t="s">
        <v>186</v>
      </c>
      <c r="B174" t="s">
        <v>683</v>
      </c>
      <c r="C174" t="s">
        <v>1175</v>
      </c>
      <c r="D174" t="s">
        <v>1503</v>
      </c>
      <c r="E174" s="9" t="s">
        <v>1507</v>
      </c>
      <c r="F174" s="9" t="s">
        <v>1511</v>
      </c>
      <c r="G174" s="7">
        <v>45656</v>
      </c>
      <c r="H174" s="5">
        <v>156</v>
      </c>
      <c r="I174" s="3">
        <v>0</v>
      </c>
      <c r="J174" t="s">
        <v>1516</v>
      </c>
      <c r="K174" t="s">
        <v>1521</v>
      </c>
      <c r="L174" t="s">
        <v>1525</v>
      </c>
      <c r="M174">
        <v>34</v>
      </c>
      <c r="N174" t="s">
        <v>1527</v>
      </c>
      <c r="O174">
        <f t="shared" si="12"/>
        <v>2024</v>
      </c>
      <c r="P174">
        <f t="shared" si="13"/>
        <v>12</v>
      </c>
      <c r="Q174" s="3">
        <f t="shared" si="14"/>
        <v>5.5910060975609754</v>
      </c>
      <c r="R174">
        <f t="shared" si="15"/>
        <v>1</v>
      </c>
      <c r="S174" t="str">
        <f t="shared" si="16"/>
        <v>Normal</v>
      </c>
      <c r="U174" t="str">
        <f t="shared" si="17"/>
        <v>2024-12</v>
      </c>
    </row>
    <row r="175" spans="1:21" x14ac:dyDescent="0.35">
      <c r="A175" t="s">
        <v>187</v>
      </c>
      <c r="B175" t="s">
        <v>684</v>
      </c>
      <c r="C175" t="s">
        <v>1176</v>
      </c>
      <c r="D175" t="s">
        <v>1505</v>
      </c>
      <c r="E175" s="9" t="s">
        <v>1509</v>
      </c>
      <c r="F175" s="9" t="s">
        <v>1515</v>
      </c>
      <c r="G175" s="7">
        <v>45716</v>
      </c>
      <c r="H175" s="5">
        <v>84</v>
      </c>
      <c r="I175" s="3">
        <v>0</v>
      </c>
      <c r="J175" t="s">
        <v>1516</v>
      </c>
      <c r="K175" t="s">
        <v>1521</v>
      </c>
      <c r="L175" t="s">
        <v>1525</v>
      </c>
      <c r="M175">
        <v>15</v>
      </c>
      <c r="N175" t="s">
        <v>1528</v>
      </c>
      <c r="O175">
        <f t="shared" si="12"/>
        <v>2025</v>
      </c>
      <c r="P175">
        <f t="shared" si="13"/>
        <v>2</v>
      </c>
      <c r="Q175" s="3">
        <f t="shared" si="14"/>
        <v>5.608103975535168</v>
      </c>
      <c r="R175">
        <f t="shared" si="15"/>
        <v>1</v>
      </c>
      <c r="S175" t="str">
        <f t="shared" si="16"/>
        <v>Normal</v>
      </c>
      <c r="U175" t="str">
        <f t="shared" si="17"/>
        <v>2025-02</v>
      </c>
    </row>
    <row r="176" spans="1:21" x14ac:dyDescent="0.35">
      <c r="A176" t="s">
        <v>188</v>
      </c>
      <c r="B176" t="s">
        <v>685</v>
      </c>
      <c r="C176" t="s">
        <v>1177</v>
      </c>
      <c r="D176" t="s">
        <v>1504</v>
      </c>
      <c r="E176" s="9" t="s">
        <v>1507</v>
      </c>
      <c r="F176" s="9" t="s">
        <v>1510</v>
      </c>
      <c r="G176" s="7">
        <v>45715</v>
      </c>
      <c r="H176" s="5">
        <v>138</v>
      </c>
      <c r="I176" s="3">
        <v>27.01</v>
      </c>
      <c r="J176" t="s">
        <v>1517</v>
      </c>
      <c r="K176" t="s">
        <v>1521</v>
      </c>
      <c r="L176" t="s">
        <v>1526</v>
      </c>
      <c r="M176">
        <v>18</v>
      </c>
      <c r="N176" t="s">
        <v>1528</v>
      </c>
      <c r="O176">
        <f t="shared" si="12"/>
        <v>2025</v>
      </c>
      <c r="P176">
        <f t="shared" si="13"/>
        <v>2</v>
      </c>
      <c r="Q176" s="3">
        <f t="shared" si="14"/>
        <v>5.6253067484662571</v>
      </c>
      <c r="R176">
        <f t="shared" si="15"/>
        <v>1</v>
      </c>
      <c r="S176" t="str">
        <f t="shared" si="16"/>
        <v>Normal</v>
      </c>
      <c r="U176" t="str">
        <f t="shared" si="17"/>
        <v>2025-02</v>
      </c>
    </row>
    <row r="177" spans="1:21" x14ac:dyDescent="0.35">
      <c r="A177" t="s">
        <v>189</v>
      </c>
      <c r="B177" t="s">
        <v>686</v>
      </c>
      <c r="C177" t="s">
        <v>1178</v>
      </c>
      <c r="D177" t="s">
        <v>1506</v>
      </c>
      <c r="E177" s="9" t="s">
        <v>1508</v>
      </c>
      <c r="F177" s="9" t="s">
        <v>1515</v>
      </c>
      <c r="G177" s="7">
        <v>45794</v>
      </c>
      <c r="H177" s="5">
        <v>26</v>
      </c>
      <c r="I177" s="3">
        <v>0</v>
      </c>
      <c r="J177" t="s">
        <v>1516</v>
      </c>
      <c r="K177" t="s">
        <v>1521</v>
      </c>
      <c r="L177" t="s">
        <v>1525</v>
      </c>
      <c r="M177">
        <v>22</v>
      </c>
      <c r="N177" t="s">
        <v>1528</v>
      </c>
      <c r="O177">
        <f t="shared" si="12"/>
        <v>2025</v>
      </c>
      <c r="P177">
        <f t="shared" si="13"/>
        <v>5</v>
      </c>
      <c r="Q177" s="3">
        <f t="shared" si="14"/>
        <v>5.559507692307692</v>
      </c>
      <c r="R177">
        <f t="shared" si="15"/>
        <v>1</v>
      </c>
      <c r="S177" t="str">
        <f t="shared" si="16"/>
        <v>Normal</v>
      </c>
      <c r="U177" t="str">
        <f t="shared" si="17"/>
        <v>2025-05</v>
      </c>
    </row>
    <row r="178" spans="1:21" x14ac:dyDescent="0.35">
      <c r="A178" t="s">
        <v>190</v>
      </c>
      <c r="B178" t="s">
        <v>687</v>
      </c>
      <c r="C178" t="s">
        <v>1179</v>
      </c>
      <c r="D178" t="s">
        <v>1505</v>
      </c>
      <c r="E178" s="9" t="s">
        <v>1508</v>
      </c>
      <c r="F178" s="9" t="s">
        <v>1510</v>
      </c>
      <c r="G178" s="7">
        <v>45806</v>
      </c>
      <c r="H178" s="5">
        <v>111</v>
      </c>
      <c r="I178" s="3">
        <v>0</v>
      </c>
      <c r="J178" t="s">
        <v>1516</v>
      </c>
      <c r="K178" t="s">
        <v>1521</v>
      </c>
      <c r="L178" t="s">
        <v>1525</v>
      </c>
      <c r="M178">
        <v>26</v>
      </c>
      <c r="N178" t="s">
        <v>1528</v>
      </c>
      <c r="O178">
        <f t="shared" si="12"/>
        <v>2025</v>
      </c>
      <c r="P178">
        <f t="shared" si="13"/>
        <v>5</v>
      </c>
      <c r="Q178" s="3">
        <f t="shared" si="14"/>
        <v>5.5766666666666662</v>
      </c>
      <c r="R178">
        <f t="shared" si="15"/>
        <v>1</v>
      </c>
      <c r="S178" t="str">
        <f t="shared" si="16"/>
        <v>Normal</v>
      </c>
      <c r="U178" t="str">
        <f t="shared" si="17"/>
        <v>2025-05</v>
      </c>
    </row>
    <row r="179" spans="1:21" x14ac:dyDescent="0.35">
      <c r="A179" t="s">
        <v>191</v>
      </c>
      <c r="B179" t="s">
        <v>688</v>
      </c>
      <c r="C179" t="s">
        <v>1180</v>
      </c>
      <c r="D179" t="s">
        <v>1506</v>
      </c>
      <c r="E179" s="9" t="s">
        <v>1508</v>
      </c>
      <c r="F179" s="9" t="s">
        <v>1512</v>
      </c>
      <c r="G179" s="7">
        <v>45662</v>
      </c>
      <c r="H179" s="5">
        <v>100</v>
      </c>
      <c r="I179" s="3">
        <v>0</v>
      </c>
      <c r="J179" t="s">
        <v>1516</v>
      </c>
      <c r="K179" t="s">
        <v>1521</v>
      </c>
      <c r="L179" t="s">
        <v>1525</v>
      </c>
      <c r="M179">
        <v>7</v>
      </c>
      <c r="N179" t="s">
        <v>1528</v>
      </c>
      <c r="O179">
        <f t="shared" si="12"/>
        <v>2025</v>
      </c>
      <c r="P179">
        <f t="shared" si="13"/>
        <v>1</v>
      </c>
      <c r="Q179" s="3">
        <f t="shared" si="14"/>
        <v>5.5939318885448914</v>
      </c>
      <c r="R179">
        <f t="shared" si="15"/>
        <v>1</v>
      </c>
      <c r="S179" t="str">
        <f t="shared" si="16"/>
        <v>Normal</v>
      </c>
      <c r="U179" t="str">
        <f t="shared" si="17"/>
        <v>2025-01</v>
      </c>
    </row>
    <row r="180" spans="1:21" x14ac:dyDescent="0.35">
      <c r="A180" t="s">
        <v>192</v>
      </c>
      <c r="B180" t="s">
        <v>689</v>
      </c>
      <c r="C180" t="s">
        <v>1181</v>
      </c>
      <c r="D180" t="s">
        <v>1506</v>
      </c>
      <c r="E180" s="9" t="s">
        <v>1508</v>
      </c>
      <c r="F180" s="9" t="s">
        <v>1515</v>
      </c>
      <c r="G180" s="7">
        <v>45801</v>
      </c>
      <c r="H180" s="5">
        <v>84</v>
      </c>
      <c r="I180" s="3">
        <v>0</v>
      </c>
      <c r="J180" t="s">
        <v>1516</v>
      </c>
      <c r="K180" t="s">
        <v>1521</v>
      </c>
      <c r="L180" t="s">
        <v>1525</v>
      </c>
      <c r="M180">
        <v>36</v>
      </c>
      <c r="N180" t="s">
        <v>1528</v>
      </c>
      <c r="O180">
        <f t="shared" si="12"/>
        <v>2025</v>
      </c>
      <c r="P180">
        <f t="shared" si="13"/>
        <v>5</v>
      </c>
      <c r="Q180" s="3">
        <f t="shared" si="14"/>
        <v>5.6113043478260867</v>
      </c>
      <c r="R180">
        <f t="shared" si="15"/>
        <v>1</v>
      </c>
      <c r="S180" t="str">
        <f t="shared" si="16"/>
        <v>Normal</v>
      </c>
      <c r="U180" t="str">
        <f t="shared" si="17"/>
        <v>2025-05</v>
      </c>
    </row>
    <row r="181" spans="1:21" x14ac:dyDescent="0.35">
      <c r="A181" t="s">
        <v>193</v>
      </c>
      <c r="B181" t="s">
        <v>690</v>
      </c>
      <c r="C181" t="s">
        <v>1182</v>
      </c>
      <c r="D181" t="s">
        <v>1503</v>
      </c>
      <c r="E181" s="9" t="s">
        <v>1509</v>
      </c>
      <c r="F181" s="9" t="s">
        <v>1514</v>
      </c>
      <c r="G181" s="7">
        <v>45743</v>
      </c>
      <c r="H181" s="5">
        <v>90</v>
      </c>
      <c r="I181" s="3">
        <v>33.43</v>
      </c>
      <c r="J181" t="s">
        <v>1517</v>
      </c>
      <c r="K181" t="s">
        <v>1523</v>
      </c>
      <c r="L181" t="s">
        <v>1526</v>
      </c>
      <c r="M181">
        <v>50</v>
      </c>
      <c r="N181" t="s">
        <v>1528</v>
      </c>
      <c r="O181">
        <f t="shared" si="12"/>
        <v>2025</v>
      </c>
      <c r="P181">
        <f t="shared" si="13"/>
        <v>3</v>
      </c>
      <c r="Q181" s="3">
        <f t="shared" si="14"/>
        <v>5.6287850467289715</v>
      </c>
      <c r="R181">
        <f t="shared" si="15"/>
        <v>0</v>
      </c>
      <c r="S181" t="str">
        <f t="shared" si="16"/>
        <v>Normal</v>
      </c>
      <c r="U181" t="str">
        <f t="shared" si="17"/>
        <v>2025-03</v>
      </c>
    </row>
    <row r="182" spans="1:21" x14ac:dyDescent="0.35">
      <c r="A182" t="s">
        <v>194</v>
      </c>
      <c r="B182" t="s">
        <v>691</v>
      </c>
      <c r="C182" t="s">
        <v>1183</v>
      </c>
      <c r="D182" t="s">
        <v>1506</v>
      </c>
      <c r="E182" s="9" t="s">
        <v>1509</v>
      </c>
      <c r="F182" s="9" t="s">
        <v>1512</v>
      </c>
      <c r="G182" s="7">
        <v>45799</v>
      </c>
      <c r="H182" s="5">
        <v>61</v>
      </c>
      <c r="I182" s="3">
        <v>23.71</v>
      </c>
      <c r="J182" t="s">
        <v>1519</v>
      </c>
      <c r="K182" t="s">
        <v>1521</v>
      </c>
      <c r="L182" t="s">
        <v>1526</v>
      </c>
      <c r="M182">
        <v>37</v>
      </c>
      <c r="N182" t="s">
        <v>1528</v>
      </c>
      <c r="O182">
        <f t="shared" si="12"/>
        <v>2025</v>
      </c>
      <c r="P182">
        <f t="shared" si="13"/>
        <v>5</v>
      </c>
      <c r="Q182" s="3">
        <f t="shared" si="14"/>
        <v>5.5419062499999994</v>
      </c>
      <c r="R182">
        <f t="shared" si="15"/>
        <v>1</v>
      </c>
      <c r="S182" t="str">
        <f t="shared" si="16"/>
        <v>Normal</v>
      </c>
      <c r="U182" t="str">
        <f t="shared" si="17"/>
        <v>2025-05</v>
      </c>
    </row>
    <row r="183" spans="1:21" x14ac:dyDescent="0.35">
      <c r="A183" t="s">
        <v>195</v>
      </c>
      <c r="B183" t="s">
        <v>692</v>
      </c>
      <c r="C183" t="s">
        <v>1184</v>
      </c>
      <c r="D183" t="s">
        <v>1503</v>
      </c>
      <c r="E183" s="9" t="s">
        <v>1507</v>
      </c>
      <c r="F183" s="9" t="s">
        <v>1512</v>
      </c>
      <c r="G183" s="7">
        <v>45748</v>
      </c>
      <c r="H183" s="5">
        <v>88</v>
      </c>
      <c r="I183" s="3">
        <v>0</v>
      </c>
      <c r="J183" t="s">
        <v>1516</v>
      </c>
      <c r="K183" t="s">
        <v>1521</v>
      </c>
      <c r="L183" t="s">
        <v>1525</v>
      </c>
      <c r="M183">
        <v>39</v>
      </c>
      <c r="N183" t="s">
        <v>1528</v>
      </c>
      <c r="O183">
        <f t="shared" si="12"/>
        <v>2025</v>
      </c>
      <c r="P183">
        <f t="shared" si="13"/>
        <v>4</v>
      </c>
      <c r="Q183" s="3">
        <f t="shared" si="14"/>
        <v>5.4849529780564259</v>
      </c>
      <c r="R183">
        <f t="shared" si="15"/>
        <v>1</v>
      </c>
      <c r="S183" t="str">
        <f t="shared" si="16"/>
        <v>Normal</v>
      </c>
      <c r="U183" t="str">
        <f t="shared" si="17"/>
        <v>2025-04</v>
      </c>
    </row>
    <row r="184" spans="1:21" x14ac:dyDescent="0.35">
      <c r="A184" t="s">
        <v>196</v>
      </c>
      <c r="B184" t="s">
        <v>693</v>
      </c>
      <c r="C184" t="s">
        <v>1185</v>
      </c>
      <c r="D184" t="s">
        <v>1502</v>
      </c>
      <c r="E184" s="9" t="s">
        <v>1507</v>
      </c>
      <c r="F184" s="9" t="s">
        <v>1511</v>
      </c>
      <c r="G184" s="7">
        <v>45682</v>
      </c>
      <c r="H184" s="5">
        <v>56</v>
      </c>
      <c r="I184" s="3">
        <v>0</v>
      </c>
      <c r="J184" t="s">
        <v>1516</v>
      </c>
      <c r="K184" t="s">
        <v>1521</v>
      </c>
      <c r="L184" t="s">
        <v>1525</v>
      </c>
      <c r="M184">
        <v>1</v>
      </c>
      <c r="N184" t="s">
        <v>1528</v>
      </c>
      <c r="O184">
        <f t="shared" si="12"/>
        <v>2025</v>
      </c>
      <c r="P184">
        <f t="shared" si="13"/>
        <v>1</v>
      </c>
      <c r="Q184" s="3">
        <f t="shared" si="14"/>
        <v>5.5022012578616346</v>
      </c>
      <c r="R184">
        <f t="shared" si="15"/>
        <v>1</v>
      </c>
      <c r="S184" t="str">
        <f t="shared" si="16"/>
        <v>Normal</v>
      </c>
      <c r="U184" t="str">
        <f t="shared" si="17"/>
        <v>2025-01</v>
      </c>
    </row>
    <row r="185" spans="1:21" x14ac:dyDescent="0.35">
      <c r="A185" t="s">
        <v>197</v>
      </c>
      <c r="B185" t="s">
        <v>694</v>
      </c>
      <c r="C185" t="s">
        <v>1186</v>
      </c>
      <c r="D185" t="s">
        <v>1506</v>
      </c>
      <c r="E185" s="9" t="s">
        <v>1507</v>
      </c>
      <c r="F185" s="9" t="s">
        <v>1511</v>
      </c>
      <c r="G185" s="7">
        <v>45693</v>
      </c>
      <c r="H185" s="5">
        <v>54</v>
      </c>
      <c r="I185" s="3">
        <v>0</v>
      </c>
      <c r="J185" t="s">
        <v>1516</v>
      </c>
      <c r="K185" t="s">
        <v>1521</v>
      </c>
      <c r="L185" t="s">
        <v>1525</v>
      </c>
      <c r="M185">
        <v>49</v>
      </c>
      <c r="N185" t="s">
        <v>1528</v>
      </c>
      <c r="O185">
        <f t="shared" si="12"/>
        <v>2025</v>
      </c>
      <c r="P185">
        <f t="shared" si="13"/>
        <v>2</v>
      </c>
      <c r="Q185" s="3">
        <f t="shared" si="14"/>
        <v>5.5195583596214508</v>
      </c>
      <c r="R185">
        <f t="shared" si="15"/>
        <v>1</v>
      </c>
      <c r="S185" t="str">
        <f t="shared" si="16"/>
        <v>Normal</v>
      </c>
      <c r="U185" t="str">
        <f t="shared" si="17"/>
        <v>2025-02</v>
      </c>
    </row>
    <row r="186" spans="1:21" x14ac:dyDescent="0.35">
      <c r="A186" t="s">
        <v>198</v>
      </c>
      <c r="B186" t="s">
        <v>695</v>
      </c>
      <c r="C186" t="s">
        <v>1187</v>
      </c>
      <c r="D186" t="s">
        <v>1505</v>
      </c>
      <c r="E186" s="9" t="s">
        <v>1509</v>
      </c>
      <c r="F186" s="9" t="s">
        <v>1513</v>
      </c>
      <c r="G186" s="7">
        <v>45713</v>
      </c>
      <c r="H186" s="5">
        <v>27</v>
      </c>
      <c r="I186" s="3">
        <v>0</v>
      </c>
      <c r="J186" t="s">
        <v>1516</v>
      </c>
      <c r="K186" t="s">
        <v>1521</v>
      </c>
      <c r="L186" t="s">
        <v>1526</v>
      </c>
      <c r="M186">
        <v>29</v>
      </c>
      <c r="N186" t="s">
        <v>1528</v>
      </c>
      <c r="O186">
        <f t="shared" si="12"/>
        <v>2025</v>
      </c>
      <c r="P186">
        <f t="shared" si="13"/>
        <v>2</v>
      </c>
      <c r="Q186" s="3">
        <f t="shared" si="14"/>
        <v>5.5370253164556953</v>
      </c>
      <c r="R186">
        <f t="shared" si="15"/>
        <v>1</v>
      </c>
      <c r="S186" t="str">
        <f t="shared" si="16"/>
        <v>Normal</v>
      </c>
      <c r="U186" t="str">
        <f t="shared" si="17"/>
        <v>2025-02</v>
      </c>
    </row>
    <row r="187" spans="1:21" x14ac:dyDescent="0.35">
      <c r="A187" t="s">
        <v>199</v>
      </c>
      <c r="B187" t="s">
        <v>696</v>
      </c>
      <c r="C187" t="s">
        <v>1188</v>
      </c>
      <c r="D187" t="s">
        <v>1504</v>
      </c>
      <c r="E187" s="9" t="s">
        <v>1509</v>
      </c>
      <c r="F187" s="9" t="s">
        <v>1515</v>
      </c>
      <c r="G187" s="7">
        <v>45644</v>
      </c>
      <c r="H187" s="5">
        <v>30</v>
      </c>
      <c r="I187" s="3">
        <v>27.43</v>
      </c>
      <c r="J187" t="s">
        <v>1518</v>
      </c>
      <c r="K187" t="s">
        <v>1521</v>
      </c>
      <c r="L187" t="s">
        <v>1526</v>
      </c>
      <c r="M187">
        <v>1</v>
      </c>
      <c r="N187" t="s">
        <v>1528</v>
      </c>
      <c r="O187">
        <f t="shared" si="12"/>
        <v>2024</v>
      </c>
      <c r="P187">
        <f t="shared" si="13"/>
        <v>12</v>
      </c>
      <c r="Q187" s="3">
        <f t="shared" si="14"/>
        <v>5.5546031746031739</v>
      </c>
      <c r="R187">
        <f t="shared" si="15"/>
        <v>1</v>
      </c>
      <c r="S187" t="str">
        <f t="shared" si="16"/>
        <v>Normal</v>
      </c>
      <c r="U187" t="str">
        <f t="shared" si="17"/>
        <v>2024-12</v>
      </c>
    </row>
    <row r="188" spans="1:21" x14ac:dyDescent="0.35">
      <c r="A188" t="s">
        <v>200</v>
      </c>
      <c r="B188" t="s">
        <v>697</v>
      </c>
      <c r="C188" t="s">
        <v>1189</v>
      </c>
      <c r="D188" t="s">
        <v>1502</v>
      </c>
      <c r="E188" s="9" t="s">
        <v>1509</v>
      </c>
      <c r="F188" s="9" t="s">
        <v>1515</v>
      </c>
      <c r="G188" s="7">
        <v>45714</v>
      </c>
      <c r="H188" s="5">
        <v>128</v>
      </c>
      <c r="I188" s="3">
        <v>0</v>
      </c>
      <c r="J188" t="s">
        <v>1516</v>
      </c>
      <c r="K188" t="s">
        <v>1522</v>
      </c>
      <c r="L188" t="s">
        <v>1525</v>
      </c>
      <c r="M188">
        <v>36</v>
      </c>
      <c r="N188" t="s">
        <v>1528</v>
      </c>
      <c r="O188">
        <f t="shared" si="12"/>
        <v>2025</v>
      </c>
      <c r="P188">
        <f t="shared" si="13"/>
        <v>2</v>
      </c>
      <c r="Q188" s="3">
        <f t="shared" si="14"/>
        <v>5.4849363057324831</v>
      </c>
      <c r="R188">
        <f t="shared" si="15"/>
        <v>0</v>
      </c>
      <c r="S188" t="str">
        <f t="shared" si="16"/>
        <v>Normal</v>
      </c>
      <c r="U188" t="str">
        <f t="shared" si="17"/>
        <v>2025-02</v>
      </c>
    </row>
    <row r="189" spans="1:21" x14ac:dyDescent="0.35">
      <c r="A189" t="s">
        <v>201</v>
      </c>
      <c r="B189" t="s">
        <v>567</v>
      </c>
      <c r="C189" t="s">
        <v>1190</v>
      </c>
      <c r="D189" t="s">
        <v>1502</v>
      </c>
      <c r="E189" s="9" t="s">
        <v>1507</v>
      </c>
      <c r="F189" s="9" t="s">
        <v>1512</v>
      </c>
      <c r="G189" s="7">
        <v>45716</v>
      </c>
      <c r="H189" s="5">
        <v>16</v>
      </c>
      <c r="I189" s="3">
        <v>36</v>
      </c>
      <c r="J189" t="s">
        <v>1520</v>
      </c>
      <c r="K189" t="s">
        <v>1521</v>
      </c>
      <c r="L189" t="s">
        <v>1526</v>
      </c>
      <c r="M189">
        <v>40</v>
      </c>
      <c r="N189" t="s">
        <v>1528</v>
      </c>
      <c r="O189">
        <f t="shared" si="12"/>
        <v>2025</v>
      </c>
      <c r="P189">
        <f t="shared" si="13"/>
        <v>2</v>
      </c>
      <c r="Q189" s="3">
        <f t="shared" si="14"/>
        <v>5.5024600638977628</v>
      </c>
      <c r="R189">
        <f t="shared" si="15"/>
        <v>1</v>
      </c>
      <c r="S189" t="str">
        <f t="shared" si="16"/>
        <v>Normal</v>
      </c>
      <c r="U189" t="str">
        <f t="shared" si="17"/>
        <v>2025-02</v>
      </c>
    </row>
    <row r="190" spans="1:21" x14ac:dyDescent="0.35">
      <c r="A190" t="s">
        <v>202</v>
      </c>
      <c r="B190" t="s">
        <v>698</v>
      </c>
      <c r="C190" t="s">
        <v>1191</v>
      </c>
      <c r="D190" t="s">
        <v>1505</v>
      </c>
      <c r="E190" s="9" t="s">
        <v>1507</v>
      </c>
      <c r="F190" s="9" t="s">
        <v>1511</v>
      </c>
      <c r="G190" s="7">
        <v>45800</v>
      </c>
      <c r="H190" s="5">
        <v>57</v>
      </c>
      <c r="I190" s="3">
        <v>0</v>
      </c>
      <c r="J190" t="s">
        <v>1516</v>
      </c>
      <c r="K190" t="s">
        <v>1521</v>
      </c>
      <c r="L190" t="s">
        <v>1525</v>
      </c>
      <c r="M190">
        <v>18</v>
      </c>
      <c r="N190" t="s">
        <v>1528</v>
      </c>
      <c r="O190">
        <f t="shared" si="12"/>
        <v>2025</v>
      </c>
      <c r="P190">
        <f t="shared" si="13"/>
        <v>5</v>
      </c>
      <c r="Q190" s="3">
        <f t="shared" si="14"/>
        <v>5.4047115384615374</v>
      </c>
      <c r="R190">
        <f t="shared" si="15"/>
        <v>1</v>
      </c>
      <c r="S190" t="str">
        <f t="shared" si="16"/>
        <v>Normal</v>
      </c>
      <c r="U190" t="str">
        <f t="shared" si="17"/>
        <v>2025-05</v>
      </c>
    </row>
    <row r="191" spans="1:21" x14ac:dyDescent="0.35">
      <c r="A191" t="s">
        <v>203</v>
      </c>
      <c r="B191" t="s">
        <v>699</v>
      </c>
      <c r="C191" t="s">
        <v>1192</v>
      </c>
      <c r="D191" t="s">
        <v>1502</v>
      </c>
      <c r="E191" s="9" t="s">
        <v>1507</v>
      </c>
      <c r="F191" s="9" t="s">
        <v>1515</v>
      </c>
      <c r="G191" s="7">
        <v>45797</v>
      </c>
      <c r="H191" s="5">
        <v>153</v>
      </c>
      <c r="I191" s="3">
        <v>0</v>
      </c>
      <c r="J191" t="s">
        <v>1516</v>
      </c>
      <c r="K191" t="s">
        <v>1521</v>
      </c>
      <c r="L191" t="s">
        <v>1525</v>
      </c>
      <c r="M191">
        <v>1</v>
      </c>
      <c r="N191" t="s">
        <v>1527</v>
      </c>
      <c r="O191">
        <f t="shared" si="12"/>
        <v>2025</v>
      </c>
      <c r="P191">
        <f t="shared" si="13"/>
        <v>5</v>
      </c>
      <c r="Q191" s="3">
        <f t="shared" si="14"/>
        <v>5.4220900321543404</v>
      </c>
      <c r="R191">
        <f t="shared" si="15"/>
        <v>1</v>
      </c>
      <c r="S191" t="str">
        <f t="shared" si="16"/>
        <v>Normal</v>
      </c>
      <c r="U191" t="str">
        <f t="shared" si="17"/>
        <v>2025-05</v>
      </c>
    </row>
    <row r="192" spans="1:21" x14ac:dyDescent="0.35">
      <c r="A192" t="s">
        <v>204</v>
      </c>
      <c r="B192" t="s">
        <v>678</v>
      </c>
      <c r="C192" t="s">
        <v>1193</v>
      </c>
      <c r="D192" t="s">
        <v>1502</v>
      </c>
      <c r="E192" s="9" t="s">
        <v>1508</v>
      </c>
      <c r="F192" s="9" t="s">
        <v>1515</v>
      </c>
      <c r="G192" s="7">
        <v>45682</v>
      </c>
      <c r="H192" s="5">
        <v>130</v>
      </c>
      <c r="I192" s="3">
        <v>0</v>
      </c>
      <c r="J192" t="s">
        <v>1516</v>
      </c>
      <c r="K192" t="s">
        <v>1521</v>
      </c>
      <c r="L192" t="s">
        <v>1526</v>
      </c>
      <c r="M192">
        <v>8</v>
      </c>
      <c r="N192" t="s">
        <v>1528</v>
      </c>
      <c r="O192">
        <f t="shared" si="12"/>
        <v>2025</v>
      </c>
      <c r="P192">
        <f t="shared" si="13"/>
        <v>1</v>
      </c>
      <c r="Q192" s="3">
        <f t="shared" si="14"/>
        <v>5.4395806451612891</v>
      </c>
      <c r="R192">
        <f t="shared" si="15"/>
        <v>1</v>
      </c>
      <c r="S192" t="str">
        <f t="shared" si="16"/>
        <v>Normal</v>
      </c>
      <c r="U192" t="str">
        <f t="shared" si="17"/>
        <v>2025-01</v>
      </c>
    </row>
    <row r="193" spans="1:21" x14ac:dyDescent="0.35">
      <c r="A193" t="s">
        <v>205</v>
      </c>
      <c r="B193" t="s">
        <v>700</v>
      </c>
      <c r="C193" t="s">
        <v>1194</v>
      </c>
      <c r="D193" t="s">
        <v>1506</v>
      </c>
      <c r="E193" s="9" t="s">
        <v>1509</v>
      </c>
      <c r="F193" s="9" t="s">
        <v>1510</v>
      </c>
      <c r="G193" s="7">
        <v>45650</v>
      </c>
      <c r="H193" s="5">
        <v>47</v>
      </c>
      <c r="I193" s="3">
        <v>12.41</v>
      </c>
      <c r="J193" t="s">
        <v>1518</v>
      </c>
      <c r="K193" t="s">
        <v>1521</v>
      </c>
      <c r="L193" t="s">
        <v>1526</v>
      </c>
      <c r="M193">
        <v>36</v>
      </c>
      <c r="N193" t="s">
        <v>1528</v>
      </c>
      <c r="O193">
        <f t="shared" si="12"/>
        <v>2024</v>
      </c>
      <c r="P193">
        <f t="shared" si="13"/>
        <v>12</v>
      </c>
      <c r="Q193" s="3">
        <f t="shared" si="14"/>
        <v>5.4571844660194166</v>
      </c>
      <c r="R193">
        <f t="shared" si="15"/>
        <v>1</v>
      </c>
      <c r="S193" t="str">
        <f t="shared" si="16"/>
        <v>Normal</v>
      </c>
      <c r="U193" t="str">
        <f t="shared" si="17"/>
        <v>2024-12</v>
      </c>
    </row>
    <row r="194" spans="1:21" x14ac:dyDescent="0.35">
      <c r="A194" t="s">
        <v>206</v>
      </c>
      <c r="B194" t="s">
        <v>701</v>
      </c>
      <c r="C194" t="s">
        <v>1195</v>
      </c>
      <c r="D194" t="s">
        <v>1505</v>
      </c>
      <c r="E194" s="9" t="s">
        <v>1509</v>
      </c>
      <c r="F194" s="9" t="s">
        <v>1513</v>
      </c>
      <c r="G194" s="7">
        <v>45717</v>
      </c>
      <c r="H194" s="5">
        <v>53</v>
      </c>
      <c r="I194" s="3">
        <v>0</v>
      </c>
      <c r="J194" t="s">
        <v>1516</v>
      </c>
      <c r="K194" t="s">
        <v>1524</v>
      </c>
      <c r="L194" t="s">
        <v>1525</v>
      </c>
      <c r="M194">
        <v>28</v>
      </c>
      <c r="N194" t="s">
        <v>1528</v>
      </c>
      <c r="O194">
        <f t="shared" si="12"/>
        <v>2025</v>
      </c>
      <c r="P194">
        <f t="shared" si="13"/>
        <v>3</v>
      </c>
      <c r="Q194" s="3">
        <f t="shared" si="14"/>
        <v>5.4346103896103894</v>
      </c>
      <c r="R194">
        <f t="shared" si="15"/>
        <v>0</v>
      </c>
      <c r="S194" t="str">
        <f t="shared" si="16"/>
        <v>Normal</v>
      </c>
      <c r="U194" t="str">
        <f t="shared" si="17"/>
        <v>2025-03</v>
      </c>
    </row>
    <row r="195" spans="1:21" x14ac:dyDescent="0.35">
      <c r="A195" t="s">
        <v>207</v>
      </c>
      <c r="B195" t="s">
        <v>702</v>
      </c>
      <c r="C195" t="s">
        <v>1196</v>
      </c>
      <c r="D195" t="s">
        <v>1502</v>
      </c>
      <c r="E195" s="9" t="s">
        <v>1509</v>
      </c>
      <c r="F195" s="9" t="s">
        <v>1514</v>
      </c>
      <c r="G195" s="7">
        <v>45746</v>
      </c>
      <c r="H195" s="5">
        <v>19</v>
      </c>
      <c r="I195" s="3">
        <v>0</v>
      </c>
      <c r="J195" t="s">
        <v>1516</v>
      </c>
      <c r="K195" t="s">
        <v>1521</v>
      </c>
      <c r="L195" t="s">
        <v>1525</v>
      </c>
      <c r="M195">
        <v>27</v>
      </c>
      <c r="N195" t="s">
        <v>1528</v>
      </c>
      <c r="O195">
        <f t="shared" ref="O195:O258" si="18">YEAR(G195)</f>
        <v>2025</v>
      </c>
      <c r="P195">
        <f t="shared" ref="P195:P258" si="19">MONTH(G195)</f>
        <v>3</v>
      </c>
      <c r="Q195" s="3">
        <f t="shared" ref="Q195:Q258" si="20">SUM(I195:I694)/COUNTA(B195:B694)</f>
        <v>5.4523127035830612</v>
      </c>
      <c r="R195">
        <f t="shared" ref="R195:R258" si="21">IF(K195="Completed",1,0)</f>
        <v>1</v>
      </c>
      <c r="S195" t="str">
        <f t="shared" ref="S195:S258" si="22">IF((H195&gt;$T$2),"Suspicious","Normal")</f>
        <v>Normal</v>
      </c>
      <c r="U195" t="str">
        <f t="shared" ref="U195:U258" si="23">TEXT(G195,"yyyy-mm")</f>
        <v>2025-03</v>
      </c>
    </row>
    <row r="196" spans="1:21" x14ac:dyDescent="0.35">
      <c r="A196" t="s">
        <v>208</v>
      </c>
      <c r="B196" t="s">
        <v>703</v>
      </c>
      <c r="C196" t="s">
        <v>1197</v>
      </c>
      <c r="D196" t="s">
        <v>1503</v>
      </c>
      <c r="E196" s="9" t="s">
        <v>1508</v>
      </c>
      <c r="F196" s="9" t="s">
        <v>1510</v>
      </c>
      <c r="G196" s="7">
        <v>45654</v>
      </c>
      <c r="H196" s="5">
        <v>117</v>
      </c>
      <c r="I196" s="3">
        <v>0</v>
      </c>
      <c r="J196" t="s">
        <v>1516</v>
      </c>
      <c r="K196" t="s">
        <v>1521</v>
      </c>
      <c r="L196" t="s">
        <v>1525</v>
      </c>
      <c r="M196">
        <v>17</v>
      </c>
      <c r="N196" t="s">
        <v>1528</v>
      </c>
      <c r="O196">
        <f t="shared" si="18"/>
        <v>2024</v>
      </c>
      <c r="P196">
        <f t="shared" si="19"/>
        <v>12</v>
      </c>
      <c r="Q196" s="3">
        <f t="shared" si="20"/>
        <v>5.4701307189542483</v>
      </c>
      <c r="R196">
        <f t="shared" si="21"/>
        <v>1</v>
      </c>
      <c r="S196" t="str">
        <f t="shared" si="22"/>
        <v>Normal</v>
      </c>
      <c r="U196" t="str">
        <f t="shared" si="23"/>
        <v>2024-12</v>
      </c>
    </row>
    <row r="197" spans="1:21" x14ac:dyDescent="0.35">
      <c r="A197" t="s">
        <v>209</v>
      </c>
      <c r="B197" t="s">
        <v>704</v>
      </c>
      <c r="C197" t="s">
        <v>1198</v>
      </c>
      <c r="D197" t="s">
        <v>1502</v>
      </c>
      <c r="E197" s="9" t="s">
        <v>1507</v>
      </c>
      <c r="F197" s="9" t="s">
        <v>1511</v>
      </c>
      <c r="G197" s="7">
        <v>45659</v>
      </c>
      <c r="H197" s="5">
        <v>35</v>
      </c>
      <c r="I197" s="3">
        <v>18.72</v>
      </c>
      <c r="J197" t="s">
        <v>1520</v>
      </c>
      <c r="K197" t="s">
        <v>1521</v>
      </c>
      <c r="L197" t="s">
        <v>1526</v>
      </c>
      <c r="M197">
        <v>20</v>
      </c>
      <c r="N197" t="s">
        <v>1528</v>
      </c>
      <c r="O197">
        <f t="shared" si="18"/>
        <v>2025</v>
      </c>
      <c r="P197">
        <f t="shared" si="19"/>
        <v>1</v>
      </c>
      <c r="Q197" s="3">
        <f t="shared" si="20"/>
        <v>5.4880655737704913</v>
      </c>
      <c r="R197">
        <f t="shared" si="21"/>
        <v>1</v>
      </c>
      <c r="S197" t="str">
        <f t="shared" si="22"/>
        <v>Normal</v>
      </c>
      <c r="U197" t="str">
        <f t="shared" si="23"/>
        <v>2025-01</v>
      </c>
    </row>
    <row r="198" spans="1:21" x14ac:dyDescent="0.35">
      <c r="A198" t="s">
        <v>210</v>
      </c>
      <c r="B198" t="s">
        <v>705</v>
      </c>
      <c r="C198" t="s">
        <v>1199</v>
      </c>
      <c r="D198" t="s">
        <v>1503</v>
      </c>
      <c r="E198" s="9" t="s">
        <v>1508</v>
      </c>
      <c r="F198" s="9" t="s">
        <v>1512</v>
      </c>
      <c r="G198" s="7">
        <v>45788</v>
      </c>
      <c r="H198" s="5">
        <v>138</v>
      </c>
      <c r="I198" s="3">
        <v>0</v>
      </c>
      <c r="J198" t="s">
        <v>1516</v>
      </c>
      <c r="K198" t="s">
        <v>1521</v>
      </c>
      <c r="L198" t="s">
        <v>1525</v>
      </c>
      <c r="M198">
        <v>47</v>
      </c>
      <c r="N198" t="s">
        <v>1528</v>
      </c>
      <c r="O198">
        <f t="shared" si="18"/>
        <v>2025</v>
      </c>
      <c r="P198">
        <f t="shared" si="19"/>
        <v>5</v>
      </c>
      <c r="Q198" s="3">
        <f t="shared" si="20"/>
        <v>5.4445394736842099</v>
      </c>
      <c r="R198">
        <f t="shared" si="21"/>
        <v>1</v>
      </c>
      <c r="S198" t="str">
        <f t="shared" si="22"/>
        <v>Normal</v>
      </c>
      <c r="U198" t="str">
        <f t="shared" si="23"/>
        <v>2025-05</v>
      </c>
    </row>
    <row r="199" spans="1:21" x14ac:dyDescent="0.35">
      <c r="A199" t="s">
        <v>211</v>
      </c>
      <c r="B199" t="s">
        <v>706</v>
      </c>
      <c r="C199" t="s">
        <v>1200</v>
      </c>
      <c r="D199" t="s">
        <v>1506</v>
      </c>
      <c r="E199" s="9" t="s">
        <v>1507</v>
      </c>
      <c r="F199" s="9" t="s">
        <v>1514</v>
      </c>
      <c r="G199" s="7">
        <v>45687</v>
      </c>
      <c r="H199" s="5">
        <v>45</v>
      </c>
      <c r="I199" s="3">
        <v>0</v>
      </c>
      <c r="J199" t="s">
        <v>1516</v>
      </c>
      <c r="K199" t="s">
        <v>1521</v>
      </c>
      <c r="L199" t="s">
        <v>1525</v>
      </c>
      <c r="M199">
        <v>24</v>
      </c>
      <c r="N199" t="s">
        <v>1528</v>
      </c>
      <c r="O199">
        <f t="shared" si="18"/>
        <v>2025</v>
      </c>
      <c r="P199">
        <f t="shared" si="19"/>
        <v>1</v>
      </c>
      <c r="Q199" s="3">
        <f t="shared" si="20"/>
        <v>5.4625082508250822</v>
      </c>
      <c r="R199">
        <f t="shared" si="21"/>
        <v>1</v>
      </c>
      <c r="S199" t="str">
        <f t="shared" si="22"/>
        <v>Normal</v>
      </c>
      <c r="U199" t="str">
        <f t="shared" si="23"/>
        <v>2025-01</v>
      </c>
    </row>
    <row r="200" spans="1:21" x14ac:dyDescent="0.35">
      <c r="A200" t="s">
        <v>212</v>
      </c>
      <c r="B200" t="s">
        <v>707</v>
      </c>
      <c r="C200" t="s">
        <v>1201</v>
      </c>
      <c r="D200" t="s">
        <v>1504</v>
      </c>
      <c r="E200" s="9" t="s">
        <v>1507</v>
      </c>
      <c r="F200" s="9" t="s">
        <v>1515</v>
      </c>
      <c r="G200" s="7">
        <v>45808</v>
      </c>
      <c r="H200" s="5">
        <v>97</v>
      </c>
      <c r="I200" s="3">
        <v>0</v>
      </c>
      <c r="J200" t="s">
        <v>1516</v>
      </c>
      <c r="K200" t="s">
        <v>1521</v>
      </c>
      <c r="L200" t="s">
        <v>1525</v>
      </c>
      <c r="M200">
        <v>5</v>
      </c>
      <c r="N200" t="s">
        <v>1528</v>
      </c>
      <c r="O200">
        <f t="shared" si="18"/>
        <v>2025</v>
      </c>
      <c r="P200">
        <f t="shared" si="19"/>
        <v>5</v>
      </c>
      <c r="Q200" s="3">
        <f t="shared" si="20"/>
        <v>5.4805960264900655</v>
      </c>
      <c r="R200">
        <f t="shared" si="21"/>
        <v>1</v>
      </c>
      <c r="S200" t="str">
        <f t="shared" si="22"/>
        <v>Normal</v>
      </c>
      <c r="U200" t="str">
        <f t="shared" si="23"/>
        <v>2025-05</v>
      </c>
    </row>
    <row r="201" spans="1:21" x14ac:dyDescent="0.35">
      <c r="A201" t="s">
        <v>213</v>
      </c>
      <c r="B201" t="s">
        <v>708</v>
      </c>
      <c r="C201" t="s">
        <v>1202</v>
      </c>
      <c r="D201" t="s">
        <v>1504</v>
      </c>
      <c r="E201" s="9" t="s">
        <v>1508</v>
      </c>
      <c r="F201" s="9" t="s">
        <v>1511</v>
      </c>
      <c r="G201" s="7">
        <v>45692</v>
      </c>
      <c r="H201" s="5">
        <v>18</v>
      </c>
      <c r="I201" s="3">
        <v>0</v>
      </c>
      <c r="J201" t="s">
        <v>1516</v>
      </c>
      <c r="K201" t="s">
        <v>1521</v>
      </c>
      <c r="L201" t="s">
        <v>1525</v>
      </c>
      <c r="M201">
        <v>14</v>
      </c>
      <c r="N201" t="s">
        <v>1528</v>
      </c>
      <c r="O201">
        <f t="shared" si="18"/>
        <v>2025</v>
      </c>
      <c r="P201">
        <f t="shared" si="19"/>
        <v>2</v>
      </c>
      <c r="Q201" s="3">
        <f t="shared" si="20"/>
        <v>5.4988039867109633</v>
      </c>
      <c r="R201">
        <f t="shared" si="21"/>
        <v>1</v>
      </c>
      <c r="S201" t="str">
        <f t="shared" si="22"/>
        <v>Normal</v>
      </c>
      <c r="U201" t="str">
        <f t="shared" si="23"/>
        <v>2025-02</v>
      </c>
    </row>
    <row r="202" spans="1:21" x14ac:dyDescent="0.35">
      <c r="A202" t="s">
        <v>214</v>
      </c>
      <c r="B202" t="s">
        <v>709</v>
      </c>
      <c r="C202" t="s">
        <v>1203</v>
      </c>
      <c r="D202" t="s">
        <v>1504</v>
      </c>
      <c r="E202" s="9" t="s">
        <v>1508</v>
      </c>
      <c r="F202" s="9" t="s">
        <v>1515</v>
      </c>
      <c r="G202" s="7">
        <v>45751</v>
      </c>
      <c r="H202" s="5">
        <v>7</v>
      </c>
      <c r="I202" s="3">
        <v>0</v>
      </c>
      <c r="J202" t="s">
        <v>1516</v>
      </c>
      <c r="K202" t="s">
        <v>1524</v>
      </c>
      <c r="L202" t="s">
        <v>1525</v>
      </c>
      <c r="M202">
        <v>22</v>
      </c>
      <c r="N202" t="s">
        <v>1528</v>
      </c>
      <c r="O202">
        <f t="shared" si="18"/>
        <v>2025</v>
      </c>
      <c r="P202">
        <f t="shared" si="19"/>
        <v>4</v>
      </c>
      <c r="Q202" s="3">
        <f t="shared" si="20"/>
        <v>5.5171333333333328</v>
      </c>
      <c r="R202">
        <f t="shared" si="21"/>
        <v>0</v>
      </c>
      <c r="S202" t="str">
        <f t="shared" si="22"/>
        <v>Normal</v>
      </c>
      <c r="U202" t="str">
        <f t="shared" si="23"/>
        <v>2025-04</v>
      </c>
    </row>
    <row r="203" spans="1:21" x14ac:dyDescent="0.35">
      <c r="A203" t="s">
        <v>215</v>
      </c>
      <c r="B203" t="s">
        <v>710</v>
      </c>
      <c r="C203" t="s">
        <v>1204</v>
      </c>
      <c r="D203" t="s">
        <v>1506</v>
      </c>
      <c r="E203" s="9" t="s">
        <v>1509</v>
      </c>
      <c r="F203" s="9" t="s">
        <v>1513</v>
      </c>
      <c r="G203" s="7">
        <v>45742</v>
      </c>
      <c r="H203" s="5">
        <v>42</v>
      </c>
      <c r="I203" s="3">
        <v>32.85</v>
      </c>
      <c r="J203" t="s">
        <v>1518</v>
      </c>
      <c r="K203" t="s">
        <v>1524</v>
      </c>
      <c r="L203" t="s">
        <v>1526</v>
      </c>
      <c r="M203">
        <v>38</v>
      </c>
      <c r="N203" t="s">
        <v>1528</v>
      </c>
      <c r="O203">
        <f t="shared" si="18"/>
        <v>2025</v>
      </c>
      <c r="P203">
        <f t="shared" si="19"/>
        <v>3</v>
      </c>
      <c r="Q203" s="3">
        <f t="shared" si="20"/>
        <v>5.5355852842809359</v>
      </c>
      <c r="R203">
        <f t="shared" si="21"/>
        <v>0</v>
      </c>
      <c r="S203" t="str">
        <f t="shared" si="22"/>
        <v>Normal</v>
      </c>
      <c r="U203" t="str">
        <f t="shared" si="23"/>
        <v>2025-03</v>
      </c>
    </row>
    <row r="204" spans="1:21" x14ac:dyDescent="0.35">
      <c r="A204" t="s">
        <v>216</v>
      </c>
      <c r="B204" t="s">
        <v>711</v>
      </c>
      <c r="C204" t="s">
        <v>1205</v>
      </c>
      <c r="D204" t="s">
        <v>1503</v>
      </c>
      <c r="E204" s="9" t="s">
        <v>1509</v>
      </c>
      <c r="F204" s="9" t="s">
        <v>1512</v>
      </c>
      <c r="G204" s="7">
        <v>45758</v>
      </c>
      <c r="H204" s="5">
        <v>111</v>
      </c>
      <c r="I204" s="3">
        <v>0</v>
      </c>
      <c r="J204" t="s">
        <v>1516</v>
      </c>
      <c r="K204" t="s">
        <v>1521</v>
      </c>
      <c r="L204" t="s">
        <v>1525</v>
      </c>
      <c r="M204">
        <v>39</v>
      </c>
      <c r="N204" t="s">
        <v>1528</v>
      </c>
      <c r="O204">
        <f t="shared" si="18"/>
        <v>2025</v>
      </c>
      <c r="P204">
        <f t="shared" si="19"/>
        <v>4</v>
      </c>
      <c r="Q204" s="3">
        <f t="shared" si="20"/>
        <v>5.4439261744966441</v>
      </c>
      <c r="R204">
        <f t="shared" si="21"/>
        <v>1</v>
      </c>
      <c r="S204" t="str">
        <f t="shared" si="22"/>
        <v>Normal</v>
      </c>
      <c r="U204" t="str">
        <f t="shared" si="23"/>
        <v>2025-04</v>
      </c>
    </row>
    <row r="205" spans="1:21" x14ac:dyDescent="0.35">
      <c r="A205" t="s">
        <v>217</v>
      </c>
      <c r="B205" t="s">
        <v>712</v>
      </c>
      <c r="C205" t="s">
        <v>1206</v>
      </c>
      <c r="D205" t="s">
        <v>1503</v>
      </c>
      <c r="E205" s="9" t="s">
        <v>1509</v>
      </c>
      <c r="F205" s="9" t="s">
        <v>1510</v>
      </c>
      <c r="G205" s="7">
        <v>45782</v>
      </c>
      <c r="H205" s="5">
        <v>32</v>
      </c>
      <c r="I205" s="3">
        <v>0</v>
      </c>
      <c r="J205" t="s">
        <v>1516</v>
      </c>
      <c r="K205" t="s">
        <v>1524</v>
      </c>
      <c r="L205" t="s">
        <v>1525</v>
      </c>
      <c r="M205">
        <v>22</v>
      </c>
      <c r="N205" t="s">
        <v>1528</v>
      </c>
      <c r="O205">
        <f t="shared" si="18"/>
        <v>2025</v>
      </c>
      <c r="P205">
        <f t="shared" si="19"/>
        <v>5</v>
      </c>
      <c r="Q205" s="3">
        <f t="shared" si="20"/>
        <v>5.4622558922558921</v>
      </c>
      <c r="R205">
        <f t="shared" si="21"/>
        <v>0</v>
      </c>
      <c r="S205" t="str">
        <f t="shared" si="22"/>
        <v>Normal</v>
      </c>
      <c r="U205" t="str">
        <f t="shared" si="23"/>
        <v>2025-05</v>
      </c>
    </row>
    <row r="206" spans="1:21" x14ac:dyDescent="0.35">
      <c r="A206" t="s">
        <v>218</v>
      </c>
      <c r="B206" t="s">
        <v>713</v>
      </c>
      <c r="C206" t="s">
        <v>1207</v>
      </c>
      <c r="D206" t="s">
        <v>1502</v>
      </c>
      <c r="E206" s="9" t="s">
        <v>1508</v>
      </c>
      <c r="F206" s="9" t="s">
        <v>1512</v>
      </c>
      <c r="G206" s="7">
        <v>45805</v>
      </c>
      <c r="H206" s="5">
        <v>46</v>
      </c>
      <c r="I206" s="3">
        <v>0</v>
      </c>
      <c r="J206" t="s">
        <v>1516</v>
      </c>
      <c r="K206" t="s">
        <v>1521</v>
      </c>
      <c r="L206" t="s">
        <v>1526</v>
      </c>
      <c r="M206">
        <v>42</v>
      </c>
      <c r="N206" t="s">
        <v>1528</v>
      </c>
      <c r="O206">
        <f t="shared" si="18"/>
        <v>2025</v>
      </c>
      <c r="P206">
        <f t="shared" si="19"/>
        <v>5</v>
      </c>
      <c r="Q206" s="3">
        <f t="shared" si="20"/>
        <v>5.480709459459459</v>
      </c>
      <c r="R206">
        <f t="shared" si="21"/>
        <v>1</v>
      </c>
      <c r="S206" t="str">
        <f t="shared" si="22"/>
        <v>Normal</v>
      </c>
      <c r="U206" t="str">
        <f t="shared" si="23"/>
        <v>2025-05</v>
      </c>
    </row>
    <row r="207" spans="1:21" x14ac:dyDescent="0.35">
      <c r="A207" t="s">
        <v>219</v>
      </c>
      <c r="B207" t="s">
        <v>714</v>
      </c>
      <c r="C207" t="s">
        <v>1208</v>
      </c>
      <c r="D207" t="s">
        <v>1506</v>
      </c>
      <c r="E207" s="9" t="s">
        <v>1507</v>
      </c>
      <c r="F207" s="9" t="s">
        <v>1511</v>
      </c>
      <c r="G207" s="7">
        <v>45802</v>
      </c>
      <c r="H207" s="5">
        <v>98</v>
      </c>
      <c r="I207" s="3">
        <v>0</v>
      </c>
      <c r="J207" t="s">
        <v>1516</v>
      </c>
      <c r="K207" t="s">
        <v>1521</v>
      </c>
      <c r="L207" t="s">
        <v>1526</v>
      </c>
      <c r="M207">
        <v>30</v>
      </c>
      <c r="N207" t="s">
        <v>1528</v>
      </c>
      <c r="O207">
        <f t="shared" si="18"/>
        <v>2025</v>
      </c>
      <c r="P207">
        <f t="shared" si="19"/>
        <v>5</v>
      </c>
      <c r="Q207" s="3">
        <f t="shared" si="20"/>
        <v>5.4992881355932202</v>
      </c>
      <c r="R207">
        <f t="shared" si="21"/>
        <v>1</v>
      </c>
      <c r="S207" t="str">
        <f t="shared" si="22"/>
        <v>Normal</v>
      </c>
      <c r="U207" t="str">
        <f t="shared" si="23"/>
        <v>2025-05</v>
      </c>
    </row>
    <row r="208" spans="1:21" x14ac:dyDescent="0.35">
      <c r="A208" t="s">
        <v>220</v>
      </c>
      <c r="B208" t="s">
        <v>715</v>
      </c>
      <c r="C208" t="s">
        <v>1209</v>
      </c>
      <c r="D208" t="s">
        <v>1506</v>
      </c>
      <c r="E208" s="9" t="s">
        <v>1507</v>
      </c>
      <c r="F208" s="9" t="s">
        <v>1515</v>
      </c>
      <c r="G208" s="7">
        <v>45791</v>
      </c>
      <c r="H208" s="5">
        <v>85</v>
      </c>
      <c r="I208" s="3">
        <v>0</v>
      </c>
      <c r="J208" t="s">
        <v>1516</v>
      </c>
      <c r="K208" t="s">
        <v>1521</v>
      </c>
      <c r="L208" t="s">
        <v>1525</v>
      </c>
      <c r="M208">
        <v>4</v>
      </c>
      <c r="N208" t="s">
        <v>1528</v>
      </c>
      <c r="O208">
        <f t="shared" si="18"/>
        <v>2025</v>
      </c>
      <c r="P208">
        <f t="shared" si="19"/>
        <v>5</v>
      </c>
      <c r="Q208" s="3">
        <f t="shared" si="20"/>
        <v>5.5179931972789111</v>
      </c>
      <c r="R208">
        <f t="shared" si="21"/>
        <v>1</v>
      </c>
      <c r="S208" t="str">
        <f t="shared" si="22"/>
        <v>Normal</v>
      </c>
      <c r="U208" t="str">
        <f t="shared" si="23"/>
        <v>2025-05</v>
      </c>
    </row>
    <row r="209" spans="1:21" x14ac:dyDescent="0.35">
      <c r="A209" t="s">
        <v>221</v>
      </c>
      <c r="B209" t="s">
        <v>716</v>
      </c>
      <c r="C209" t="s">
        <v>1210</v>
      </c>
      <c r="D209" t="s">
        <v>1506</v>
      </c>
      <c r="E209" s="9" t="s">
        <v>1507</v>
      </c>
      <c r="F209" s="9" t="s">
        <v>1512</v>
      </c>
      <c r="G209" s="7">
        <v>45790</v>
      </c>
      <c r="H209" s="5">
        <v>135</v>
      </c>
      <c r="I209" s="3">
        <v>0</v>
      </c>
      <c r="J209" t="s">
        <v>1516</v>
      </c>
      <c r="K209" t="s">
        <v>1521</v>
      </c>
      <c r="L209" t="s">
        <v>1526</v>
      </c>
      <c r="M209">
        <v>42</v>
      </c>
      <c r="N209" t="s">
        <v>1528</v>
      </c>
      <c r="O209">
        <f t="shared" si="18"/>
        <v>2025</v>
      </c>
      <c r="P209">
        <f t="shared" si="19"/>
        <v>5</v>
      </c>
      <c r="Q209" s="3">
        <f t="shared" si="20"/>
        <v>5.5368259385665528</v>
      </c>
      <c r="R209">
        <f t="shared" si="21"/>
        <v>1</v>
      </c>
      <c r="S209" t="str">
        <f t="shared" si="22"/>
        <v>Normal</v>
      </c>
      <c r="U209" t="str">
        <f t="shared" si="23"/>
        <v>2025-05</v>
      </c>
    </row>
    <row r="210" spans="1:21" x14ac:dyDescent="0.35">
      <c r="A210" t="s">
        <v>222</v>
      </c>
      <c r="B210" t="s">
        <v>717</v>
      </c>
      <c r="C210" t="s">
        <v>1211</v>
      </c>
      <c r="D210" t="s">
        <v>1506</v>
      </c>
      <c r="E210" s="9" t="s">
        <v>1508</v>
      </c>
      <c r="F210" s="9" t="s">
        <v>1513</v>
      </c>
      <c r="G210" s="7">
        <v>45641</v>
      </c>
      <c r="H210" s="5">
        <v>109</v>
      </c>
      <c r="I210" s="3">
        <v>0</v>
      </c>
      <c r="J210" t="s">
        <v>1516</v>
      </c>
      <c r="K210" t="s">
        <v>1521</v>
      </c>
      <c r="L210" t="s">
        <v>1525</v>
      </c>
      <c r="M210">
        <v>15</v>
      </c>
      <c r="N210" t="s">
        <v>1528</v>
      </c>
      <c r="O210">
        <f t="shared" si="18"/>
        <v>2024</v>
      </c>
      <c r="P210">
        <f t="shared" si="19"/>
        <v>12</v>
      </c>
      <c r="Q210" s="3">
        <f t="shared" si="20"/>
        <v>5.5557876712328769</v>
      </c>
      <c r="R210">
        <f t="shared" si="21"/>
        <v>1</v>
      </c>
      <c r="S210" t="str">
        <f t="shared" si="22"/>
        <v>Normal</v>
      </c>
      <c r="U210" t="str">
        <f t="shared" si="23"/>
        <v>2024-12</v>
      </c>
    </row>
    <row r="211" spans="1:21" x14ac:dyDescent="0.35">
      <c r="A211" t="s">
        <v>223</v>
      </c>
      <c r="B211" t="s">
        <v>718</v>
      </c>
      <c r="C211" t="s">
        <v>1212</v>
      </c>
      <c r="D211" t="s">
        <v>1505</v>
      </c>
      <c r="E211" s="9" t="s">
        <v>1509</v>
      </c>
      <c r="F211" s="9" t="s">
        <v>1513</v>
      </c>
      <c r="G211" s="7">
        <v>45790</v>
      </c>
      <c r="H211" s="5">
        <v>41</v>
      </c>
      <c r="I211" s="3">
        <v>0</v>
      </c>
      <c r="J211" t="s">
        <v>1516</v>
      </c>
      <c r="K211" t="s">
        <v>1521</v>
      </c>
      <c r="L211" t="s">
        <v>1525</v>
      </c>
      <c r="M211">
        <v>14</v>
      </c>
      <c r="N211" t="s">
        <v>1528</v>
      </c>
      <c r="O211">
        <f t="shared" si="18"/>
        <v>2025</v>
      </c>
      <c r="P211">
        <f t="shared" si="19"/>
        <v>5</v>
      </c>
      <c r="Q211" s="3">
        <f t="shared" si="20"/>
        <v>5.5748797250859106</v>
      </c>
      <c r="R211">
        <f t="shared" si="21"/>
        <v>1</v>
      </c>
      <c r="S211" t="str">
        <f t="shared" si="22"/>
        <v>Normal</v>
      </c>
      <c r="U211" t="str">
        <f t="shared" si="23"/>
        <v>2025-05</v>
      </c>
    </row>
    <row r="212" spans="1:21" x14ac:dyDescent="0.35">
      <c r="A212" t="s">
        <v>224</v>
      </c>
      <c r="B212" t="s">
        <v>719</v>
      </c>
      <c r="C212" t="s">
        <v>1213</v>
      </c>
      <c r="D212" t="s">
        <v>1503</v>
      </c>
      <c r="E212" s="9" t="s">
        <v>1507</v>
      </c>
      <c r="F212" s="9" t="s">
        <v>1515</v>
      </c>
      <c r="G212" s="7">
        <v>45686</v>
      </c>
      <c r="H212" s="5">
        <v>47</v>
      </c>
      <c r="I212" s="3">
        <v>8.61</v>
      </c>
      <c r="J212" t="s">
        <v>1518</v>
      </c>
      <c r="K212" t="s">
        <v>1521</v>
      </c>
      <c r="L212" t="s">
        <v>1526</v>
      </c>
      <c r="M212">
        <v>1</v>
      </c>
      <c r="N212" t="s">
        <v>1528</v>
      </c>
      <c r="O212">
        <f t="shared" si="18"/>
        <v>2025</v>
      </c>
      <c r="P212">
        <f t="shared" si="19"/>
        <v>1</v>
      </c>
      <c r="Q212" s="3">
        <f t="shared" si="20"/>
        <v>5.5941034482758623</v>
      </c>
      <c r="R212">
        <f t="shared" si="21"/>
        <v>1</v>
      </c>
      <c r="S212" t="str">
        <f t="shared" si="22"/>
        <v>Normal</v>
      </c>
      <c r="U212" t="str">
        <f t="shared" si="23"/>
        <v>2025-01</v>
      </c>
    </row>
    <row r="213" spans="1:21" x14ac:dyDescent="0.35">
      <c r="A213" t="s">
        <v>225</v>
      </c>
      <c r="B213" t="s">
        <v>720</v>
      </c>
      <c r="C213" t="s">
        <v>1214</v>
      </c>
      <c r="D213" t="s">
        <v>1502</v>
      </c>
      <c r="E213" s="9" t="s">
        <v>1507</v>
      </c>
      <c r="F213" s="9" t="s">
        <v>1511</v>
      </c>
      <c r="G213" s="7">
        <v>45738</v>
      </c>
      <c r="H213" s="5">
        <v>141</v>
      </c>
      <c r="I213" s="3">
        <v>0</v>
      </c>
      <c r="J213" t="s">
        <v>1516</v>
      </c>
      <c r="K213" t="s">
        <v>1521</v>
      </c>
      <c r="L213" t="s">
        <v>1525</v>
      </c>
      <c r="M213">
        <v>17</v>
      </c>
      <c r="N213" t="s">
        <v>1528</v>
      </c>
      <c r="O213">
        <f t="shared" si="18"/>
        <v>2025</v>
      </c>
      <c r="P213">
        <f t="shared" si="19"/>
        <v>3</v>
      </c>
      <c r="Q213" s="3">
        <f t="shared" si="20"/>
        <v>5.5836678200692038</v>
      </c>
      <c r="R213">
        <f t="shared" si="21"/>
        <v>1</v>
      </c>
      <c r="S213" t="str">
        <f t="shared" si="22"/>
        <v>Normal</v>
      </c>
      <c r="U213" t="str">
        <f t="shared" si="23"/>
        <v>2025-03</v>
      </c>
    </row>
    <row r="214" spans="1:21" x14ac:dyDescent="0.35">
      <c r="A214" t="s">
        <v>226</v>
      </c>
      <c r="B214" t="s">
        <v>721</v>
      </c>
      <c r="C214" t="s">
        <v>1215</v>
      </c>
      <c r="D214" t="s">
        <v>1504</v>
      </c>
      <c r="E214" s="9" t="s">
        <v>1508</v>
      </c>
      <c r="F214" s="9" t="s">
        <v>1510</v>
      </c>
      <c r="G214" s="7">
        <v>45722</v>
      </c>
      <c r="H214" s="5">
        <v>56</v>
      </c>
      <c r="I214" s="3">
        <v>15.9</v>
      </c>
      <c r="J214" t="s">
        <v>1517</v>
      </c>
      <c r="K214" t="s">
        <v>1523</v>
      </c>
      <c r="L214" t="s">
        <v>1526</v>
      </c>
      <c r="M214">
        <v>28</v>
      </c>
      <c r="N214" t="s">
        <v>1528</v>
      </c>
      <c r="O214">
        <f t="shared" si="18"/>
        <v>2025</v>
      </c>
      <c r="P214">
        <f t="shared" si="19"/>
        <v>3</v>
      </c>
      <c r="Q214" s="3">
        <f t="shared" si="20"/>
        <v>5.6030555555555548</v>
      </c>
      <c r="R214">
        <f t="shared" si="21"/>
        <v>0</v>
      </c>
      <c r="S214" t="str">
        <f t="shared" si="22"/>
        <v>Normal</v>
      </c>
      <c r="U214" t="str">
        <f t="shared" si="23"/>
        <v>2025-03</v>
      </c>
    </row>
    <row r="215" spans="1:21" x14ac:dyDescent="0.35">
      <c r="A215" t="s">
        <v>227</v>
      </c>
      <c r="B215" t="s">
        <v>722</v>
      </c>
      <c r="C215" t="s">
        <v>1216</v>
      </c>
      <c r="D215" t="s">
        <v>1504</v>
      </c>
      <c r="E215" s="9" t="s">
        <v>1508</v>
      </c>
      <c r="F215" s="9" t="s">
        <v>1515</v>
      </c>
      <c r="G215" s="7">
        <v>45817</v>
      </c>
      <c r="H215" s="5">
        <v>93</v>
      </c>
      <c r="I215" s="3">
        <v>0</v>
      </c>
      <c r="J215" t="s">
        <v>1516</v>
      </c>
      <c r="K215" t="s">
        <v>1521</v>
      </c>
      <c r="L215" t="s">
        <v>1525</v>
      </c>
      <c r="M215">
        <v>21</v>
      </c>
      <c r="N215" t="s">
        <v>1528</v>
      </c>
      <c r="O215">
        <f t="shared" si="18"/>
        <v>2025</v>
      </c>
      <c r="P215">
        <f t="shared" si="19"/>
        <v>6</v>
      </c>
      <c r="Q215" s="3">
        <f t="shared" si="20"/>
        <v>5.5671777003484308</v>
      </c>
      <c r="R215">
        <f t="shared" si="21"/>
        <v>1</v>
      </c>
      <c r="S215" t="str">
        <f t="shared" si="22"/>
        <v>Normal</v>
      </c>
      <c r="U215" t="str">
        <f t="shared" si="23"/>
        <v>2025-06</v>
      </c>
    </row>
    <row r="216" spans="1:21" x14ac:dyDescent="0.35">
      <c r="A216" t="s">
        <v>228</v>
      </c>
      <c r="B216" t="s">
        <v>723</v>
      </c>
      <c r="C216" t="s">
        <v>1217</v>
      </c>
      <c r="D216" t="s">
        <v>1505</v>
      </c>
      <c r="E216" s="9" t="s">
        <v>1509</v>
      </c>
      <c r="F216" s="9" t="s">
        <v>1511</v>
      </c>
      <c r="G216" s="7">
        <v>45688</v>
      </c>
      <c r="H216" s="5">
        <v>147</v>
      </c>
      <c r="I216" s="3">
        <v>0</v>
      </c>
      <c r="J216" t="s">
        <v>1516</v>
      </c>
      <c r="K216" t="s">
        <v>1521</v>
      </c>
      <c r="L216" t="s">
        <v>1525</v>
      </c>
      <c r="M216">
        <v>48</v>
      </c>
      <c r="N216" t="s">
        <v>1528</v>
      </c>
      <c r="O216">
        <f t="shared" si="18"/>
        <v>2025</v>
      </c>
      <c r="P216">
        <f t="shared" si="19"/>
        <v>1</v>
      </c>
      <c r="Q216" s="3">
        <f t="shared" si="20"/>
        <v>5.5866433566433553</v>
      </c>
      <c r="R216">
        <f t="shared" si="21"/>
        <v>1</v>
      </c>
      <c r="S216" t="str">
        <f t="shared" si="22"/>
        <v>Normal</v>
      </c>
      <c r="U216" t="str">
        <f t="shared" si="23"/>
        <v>2025-01</v>
      </c>
    </row>
    <row r="217" spans="1:21" x14ac:dyDescent="0.35">
      <c r="A217" t="s">
        <v>229</v>
      </c>
      <c r="B217" t="s">
        <v>724</v>
      </c>
      <c r="C217" t="s">
        <v>1218</v>
      </c>
      <c r="D217" t="s">
        <v>1503</v>
      </c>
      <c r="E217" s="9" t="s">
        <v>1507</v>
      </c>
      <c r="F217" s="9" t="s">
        <v>1515</v>
      </c>
      <c r="G217" s="7">
        <v>45688</v>
      </c>
      <c r="H217" s="5">
        <v>34</v>
      </c>
      <c r="I217" s="3">
        <v>0</v>
      </c>
      <c r="J217" t="s">
        <v>1516</v>
      </c>
      <c r="K217" t="s">
        <v>1521</v>
      </c>
      <c r="L217" t="s">
        <v>1525</v>
      </c>
      <c r="M217">
        <v>50</v>
      </c>
      <c r="N217" t="s">
        <v>1528</v>
      </c>
      <c r="O217">
        <f t="shared" si="18"/>
        <v>2025</v>
      </c>
      <c r="P217">
        <f t="shared" si="19"/>
        <v>1</v>
      </c>
      <c r="Q217" s="3">
        <f t="shared" si="20"/>
        <v>5.6062456140350871</v>
      </c>
      <c r="R217">
        <f t="shared" si="21"/>
        <v>1</v>
      </c>
      <c r="S217" t="str">
        <f t="shared" si="22"/>
        <v>Normal</v>
      </c>
      <c r="U217" t="str">
        <f t="shared" si="23"/>
        <v>2025-01</v>
      </c>
    </row>
    <row r="218" spans="1:21" x14ac:dyDescent="0.35">
      <c r="A218" t="s">
        <v>230</v>
      </c>
      <c r="B218" t="s">
        <v>725</v>
      </c>
      <c r="C218" t="s">
        <v>1219</v>
      </c>
      <c r="D218" t="s">
        <v>1504</v>
      </c>
      <c r="E218" s="9" t="s">
        <v>1507</v>
      </c>
      <c r="F218" s="9" t="s">
        <v>1513</v>
      </c>
      <c r="G218" s="7">
        <v>45764</v>
      </c>
      <c r="H218" s="5">
        <v>51</v>
      </c>
      <c r="I218" s="3">
        <v>0</v>
      </c>
      <c r="J218" t="s">
        <v>1516</v>
      </c>
      <c r="K218" t="s">
        <v>1522</v>
      </c>
      <c r="L218" t="s">
        <v>1525</v>
      </c>
      <c r="M218">
        <v>2</v>
      </c>
      <c r="N218" t="s">
        <v>1528</v>
      </c>
      <c r="O218">
        <f t="shared" si="18"/>
        <v>2025</v>
      </c>
      <c r="P218">
        <f t="shared" si="19"/>
        <v>4</v>
      </c>
      <c r="Q218" s="3">
        <f t="shared" si="20"/>
        <v>5.625985915492957</v>
      </c>
      <c r="R218">
        <f t="shared" si="21"/>
        <v>0</v>
      </c>
      <c r="S218" t="str">
        <f t="shared" si="22"/>
        <v>Normal</v>
      </c>
      <c r="U218" t="str">
        <f t="shared" si="23"/>
        <v>2025-04</v>
      </c>
    </row>
    <row r="219" spans="1:21" x14ac:dyDescent="0.35">
      <c r="A219" t="s">
        <v>231</v>
      </c>
      <c r="B219" t="s">
        <v>726</v>
      </c>
      <c r="C219" t="s">
        <v>1220</v>
      </c>
      <c r="D219" t="s">
        <v>1505</v>
      </c>
      <c r="E219" s="9" t="s">
        <v>1507</v>
      </c>
      <c r="F219" s="9" t="s">
        <v>1512</v>
      </c>
      <c r="G219" s="7">
        <v>45811</v>
      </c>
      <c r="H219" s="5">
        <v>44</v>
      </c>
      <c r="I219" s="3">
        <v>0</v>
      </c>
      <c r="J219" t="s">
        <v>1516</v>
      </c>
      <c r="K219" t="s">
        <v>1524</v>
      </c>
      <c r="L219" t="s">
        <v>1525</v>
      </c>
      <c r="M219">
        <v>27</v>
      </c>
      <c r="N219" t="s">
        <v>1528</v>
      </c>
      <c r="O219">
        <f t="shared" si="18"/>
        <v>2025</v>
      </c>
      <c r="P219">
        <f t="shared" si="19"/>
        <v>6</v>
      </c>
      <c r="Q219" s="3">
        <f t="shared" si="20"/>
        <v>5.6458657243816246</v>
      </c>
      <c r="R219">
        <f t="shared" si="21"/>
        <v>0</v>
      </c>
      <c r="S219" t="str">
        <f t="shared" si="22"/>
        <v>Normal</v>
      </c>
      <c r="U219" t="str">
        <f t="shared" si="23"/>
        <v>2025-06</v>
      </c>
    </row>
    <row r="220" spans="1:21" x14ac:dyDescent="0.35">
      <c r="A220" t="s">
        <v>232</v>
      </c>
      <c r="B220" t="s">
        <v>727</v>
      </c>
      <c r="C220" t="s">
        <v>1221</v>
      </c>
      <c r="D220" t="s">
        <v>1502</v>
      </c>
      <c r="E220" s="9" t="s">
        <v>1508</v>
      </c>
      <c r="F220" s="9" t="s">
        <v>1515</v>
      </c>
      <c r="G220" s="7">
        <v>45642</v>
      </c>
      <c r="H220" s="5">
        <v>114</v>
      </c>
      <c r="I220" s="3">
        <v>5.31</v>
      </c>
      <c r="J220" t="s">
        <v>1517</v>
      </c>
      <c r="K220" t="s">
        <v>1521</v>
      </c>
      <c r="L220" t="s">
        <v>1526</v>
      </c>
      <c r="M220">
        <v>9</v>
      </c>
      <c r="N220" t="s">
        <v>1528</v>
      </c>
      <c r="O220">
        <f t="shared" si="18"/>
        <v>2024</v>
      </c>
      <c r="P220">
        <f t="shared" si="19"/>
        <v>12</v>
      </c>
      <c r="Q220" s="3">
        <f t="shared" si="20"/>
        <v>5.6658865248226942</v>
      </c>
      <c r="R220">
        <f t="shared" si="21"/>
        <v>1</v>
      </c>
      <c r="S220" t="str">
        <f t="shared" si="22"/>
        <v>Normal</v>
      </c>
      <c r="U220" t="str">
        <f t="shared" si="23"/>
        <v>2024-12</v>
      </c>
    </row>
    <row r="221" spans="1:21" x14ac:dyDescent="0.35">
      <c r="A221" t="s">
        <v>233</v>
      </c>
      <c r="B221" t="s">
        <v>728</v>
      </c>
      <c r="C221" t="s">
        <v>1222</v>
      </c>
      <c r="D221" t="s">
        <v>1506</v>
      </c>
      <c r="E221" s="9" t="s">
        <v>1507</v>
      </c>
      <c r="F221" s="9" t="s">
        <v>1511</v>
      </c>
      <c r="G221" s="7">
        <v>45720</v>
      </c>
      <c r="H221" s="5">
        <v>154</v>
      </c>
      <c r="I221" s="3">
        <v>0</v>
      </c>
      <c r="J221" t="s">
        <v>1516</v>
      </c>
      <c r="K221" t="s">
        <v>1521</v>
      </c>
      <c r="L221" t="s">
        <v>1525</v>
      </c>
      <c r="M221">
        <v>26</v>
      </c>
      <c r="N221" t="s">
        <v>1527</v>
      </c>
      <c r="O221">
        <f t="shared" si="18"/>
        <v>2025</v>
      </c>
      <c r="P221">
        <f t="shared" si="19"/>
        <v>3</v>
      </c>
      <c r="Q221" s="3">
        <f t="shared" si="20"/>
        <v>5.6671530249110305</v>
      </c>
      <c r="R221">
        <f t="shared" si="21"/>
        <v>1</v>
      </c>
      <c r="S221" t="str">
        <f t="shared" si="22"/>
        <v>Normal</v>
      </c>
      <c r="U221" t="str">
        <f t="shared" si="23"/>
        <v>2025-03</v>
      </c>
    </row>
    <row r="222" spans="1:21" x14ac:dyDescent="0.35">
      <c r="A222" t="s">
        <v>234</v>
      </c>
      <c r="B222" t="s">
        <v>729</v>
      </c>
      <c r="C222" t="s">
        <v>1223</v>
      </c>
      <c r="D222" t="s">
        <v>1505</v>
      </c>
      <c r="E222" s="9" t="s">
        <v>1509</v>
      </c>
      <c r="F222" s="9" t="s">
        <v>1511</v>
      </c>
      <c r="G222" s="7">
        <v>45775</v>
      </c>
      <c r="H222" s="5">
        <v>105</v>
      </c>
      <c r="I222" s="3">
        <v>0</v>
      </c>
      <c r="J222" t="s">
        <v>1516</v>
      </c>
      <c r="K222" t="s">
        <v>1521</v>
      </c>
      <c r="L222" t="s">
        <v>1525</v>
      </c>
      <c r="M222">
        <v>38</v>
      </c>
      <c r="N222" t="s">
        <v>1528</v>
      </c>
      <c r="O222">
        <f t="shared" si="18"/>
        <v>2025</v>
      </c>
      <c r="P222">
        <f t="shared" si="19"/>
        <v>4</v>
      </c>
      <c r="Q222" s="3">
        <f t="shared" si="20"/>
        <v>5.6873928571428554</v>
      </c>
      <c r="R222">
        <f t="shared" si="21"/>
        <v>1</v>
      </c>
      <c r="S222" t="str">
        <f t="shared" si="22"/>
        <v>Normal</v>
      </c>
      <c r="U222" t="str">
        <f t="shared" si="23"/>
        <v>2025-04</v>
      </c>
    </row>
    <row r="223" spans="1:21" x14ac:dyDescent="0.35">
      <c r="A223" t="s">
        <v>235</v>
      </c>
      <c r="B223" t="s">
        <v>730</v>
      </c>
      <c r="C223" t="s">
        <v>1224</v>
      </c>
      <c r="D223" t="s">
        <v>1504</v>
      </c>
      <c r="E223" s="9" t="s">
        <v>1509</v>
      </c>
      <c r="F223" s="9" t="s">
        <v>1510</v>
      </c>
      <c r="G223" s="7">
        <v>45683</v>
      </c>
      <c r="H223" s="5">
        <v>80</v>
      </c>
      <c r="I223" s="3">
        <v>0</v>
      </c>
      <c r="J223" t="s">
        <v>1516</v>
      </c>
      <c r="K223" t="s">
        <v>1523</v>
      </c>
      <c r="L223" t="s">
        <v>1525</v>
      </c>
      <c r="M223">
        <v>39</v>
      </c>
      <c r="N223" t="s">
        <v>1528</v>
      </c>
      <c r="O223">
        <f t="shared" si="18"/>
        <v>2025</v>
      </c>
      <c r="P223">
        <f t="shared" si="19"/>
        <v>1</v>
      </c>
      <c r="Q223" s="3">
        <f t="shared" si="20"/>
        <v>5.7077777777777765</v>
      </c>
      <c r="R223">
        <f t="shared" si="21"/>
        <v>0</v>
      </c>
      <c r="S223" t="str">
        <f t="shared" si="22"/>
        <v>Normal</v>
      </c>
      <c r="U223" t="str">
        <f t="shared" si="23"/>
        <v>2025-01</v>
      </c>
    </row>
    <row r="224" spans="1:21" x14ac:dyDescent="0.35">
      <c r="A224" t="s">
        <v>236</v>
      </c>
      <c r="B224" t="s">
        <v>731</v>
      </c>
      <c r="C224" t="s">
        <v>1225</v>
      </c>
      <c r="D224" t="s">
        <v>1504</v>
      </c>
      <c r="E224" s="9" t="s">
        <v>1509</v>
      </c>
      <c r="F224" s="9" t="s">
        <v>1510</v>
      </c>
      <c r="G224" s="7">
        <v>45756</v>
      </c>
      <c r="H224" s="5">
        <v>92</v>
      </c>
      <c r="I224" s="3">
        <v>0</v>
      </c>
      <c r="J224" t="s">
        <v>1516</v>
      </c>
      <c r="K224" t="s">
        <v>1521</v>
      </c>
      <c r="L224" t="s">
        <v>1525</v>
      </c>
      <c r="M224">
        <v>11</v>
      </c>
      <c r="N224" t="s">
        <v>1528</v>
      </c>
      <c r="O224">
        <f t="shared" si="18"/>
        <v>2025</v>
      </c>
      <c r="P224">
        <f t="shared" si="19"/>
        <v>4</v>
      </c>
      <c r="Q224" s="3">
        <f t="shared" si="20"/>
        <v>5.728309352517984</v>
      </c>
      <c r="R224">
        <f t="shared" si="21"/>
        <v>1</v>
      </c>
      <c r="S224" t="str">
        <f t="shared" si="22"/>
        <v>Normal</v>
      </c>
      <c r="U224" t="str">
        <f t="shared" si="23"/>
        <v>2025-04</v>
      </c>
    </row>
    <row r="225" spans="1:21" x14ac:dyDescent="0.35">
      <c r="A225" t="s">
        <v>237</v>
      </c>
      <c r="B225" t="s">
        <v>732</v>
      </c>
      <c r="C225" t="s">
        <v>1226</v>
      </c>
      <c r="D225" t="s">
        <v>1505</v>
      </c>
      <c r="E225" s="9" t="s">
        <v>1508</v>
      </c>
      <c r="F225" s="9" t="s">
        <v>1511</v>
      </c>
      <c r="G225" s="7">
        <v>45683</v>
      </c>
      <c r="H225" s="5">
        <v>113</v>
      </c>
      <c r="I225" s="3">
        <v>0</v>
      </c>
      <c r="J225" t="s">
        <v>1516</v>
      </c>
      <c r="K225" t="s">
        <v>1521</v>
      </c>
      <c r="L225" t="s">
        <v>1525</v>
      </c>
      <c r="M225">
        <v>46</v>
      </c>
      <c r="N225" t="s">
        <v>1528</v>
      </c>
      <c r="O225">
        <f t="shared" si="18"/>
        <v>2025</v>
      </c>
      <c r="P225">
        <f t="shared" si="19"/>
        <v>1</v>
      </c>
      <c r="Q225" s="3">
        <f t="shared" si="20"/>
        <v>5.748989169675089</v>
      </c>
      <c r="R225">
        <f t="shared" si="21"/>
        <v>1</v>
      </c>
      <c r="S225" t="str">
        <f t="shared" si="22"/>
        <v>Normal</v>
      </c>
      <c r="U225" t="str">
        <f t="shared" si="23"/>
        <v>2025-01</v>
      </c>
    </row>
    <row r="226" spans="1:21" x14ac:dyDescent="0.35">
      <c r="A226" t="s">
        <v>238</v>
      </c>
      <c r="B226" t="s">
        <v>733</v>
      </c>
      <c r="C226" t="s">
        <v>1227</v>
      </c>
      <c r="D226" t="s">
        <v>1504</v>
      </c>
      <c r="E226" s="9" t="s">
        <v>1508</v>
      </c>
      <c r="F226" s="9" t="s">
        <v>1510</v>
      </c>
      <c r="G226" s="7">
        <v>45663</v>
      </c>
      <c r="H226" s="5">
        <v>117</v>
      </c>
      <c r="I226" s="3">
        <v>23.32</v>
      </c>
      <c r="J226" t="s">
        <v>1517</v>
      </c>
      <c r="K226" t="s">
        <v>1521</v>
      </c>
      <c r="L226" t="s">
        <v>1526</v>
      </c>
      <c r="M226">
        <v>11</v>
      </c>
      <c r="N226" t="s">
        <v>1528</v>
      </c>
      <c r="O226">
        <f t="shared" si="18"/>
        <v>2025</v>
      </c>
      <c r="P226">
        <f t="shared" si="19"/>
        <v>1</v>
      </c>
      <c r="Q226" s="3">
        <f t="shared" si="20"/>
        <v>5.7698188405797088</v>
      </c>
      <c r="R226">
        <f t="shared" si="21"/>
        <v>1</v>
      </c>
      <c r="S226" t="str">
        <f t="shared" si="22"/>
        <v>Normal</v>
      </c>
      <c r="U226" t="str">
        <f t="shared" si="23"/>
        <v>2025-01</v>
      </c>
    </row>
    <row r="227" spans="1:21" x14ac:dyDescent="0.35">
      <c r="A227" t="s">
        <v>239</v>
      </c>
      <c r="B227" t="s">
        <v>734</v>
      </c>
      <c r="C227" t="s">
        <v>1228</v>
      </c>
      <c r="D227" t="s">
        <v>1502</v>
      </c>
      <c r="E227" s="9" t="s">
        <v>1507</v>
      </c>
      <c r="F227" s="9" t="s">
        <v>1515</v>
      </c>
      <c r="G227" s="7">
        <v>45688</v>
      </c>
      <c r="H227" s="5">
        <v>71</v>
      </c>
      <c r="I227" s="3">
        <v>0</v>
      </c>
      <c r="J227" t="s">
        <v>1516</v>
      </c>
      <c r="K227" t="s">
        <v>1521</v>
      </c>
      <c r="L227" t="s">
        <v>1525</v>
      </c>
      <c r="M227">
        <v>37</v>
      </c>
      <c r="N227" t="s">
        <v>1528</v>
      </c>
      <c r="O227">
        <f t="shared" si="18"/>
        <v>2025</v>
      </c>
      <c r="P227">
        <f t="shared" si="19"/>
        <v>1</v>
      </c>
      <c r="Q227" s="3">
        <f t="shared" si="20"/>
        <v>5.7059999999999986</v>
      </c>
      <c r="R227">
        <f t="shared" si="21"/>
        <v>1</v>
      </c>
      <c r="S227" t="str">
        <f t="shared" si="22"/>
        <v>Normal</v>
      </c>
      <c r="U227" t="str">
        <f t="shared" si="23"/>
        <v>2025-01</v>
      </c>
    </row>
    <row r="228" spans="1:21" x14ac:dyDescent="0.35">
      <c r="A228" t="s">
        <v>240</v>
      </c>
      <c r="B228" t="s">
        <v>735</v>
      </c>
      <c r="C228" t="s">
        <v>1229</v>
      </c>
      <c r="D228" t="s">
        <v>1506</v>
      </c>
      <c r="E228" s="9" t="s">
        <v>1508</v>
      </c>
      <c r="F228" s="9" t="s">
        <v>1514</v>
      </c>
      <c r="G228" s="7">
        <v>45680</v>
      </c>
      <c r="H228" s="5">
        <v>132</v>
      </c>
      <c r="I228" s="3">
        <v>0</v>
      </c>
      <c r="J228" t="s">
        <v>1516</v>
      </c>
      <c r="K228" t="s">
        <v>1521</v>
      </c>
      <c r="L228" t="s">
        <v>1526</v>
      </c>
      <c r="M228">
        <v>50</v>
      </c>
      <c r="N228" t="s">
        <v>1528</v>
      </c>
      <c r="O228">
        <f t="shared" si="18"/>
        <v>2025</v>
      </c>
      <c r="P228">
        <f t="shared" si="19"/>
        <v>1</v>
      </c>
      <c r="Q228" s="3">
        <f t="shared" si="20"/>
        <v>5.7268248175182466</v>
      </c>
      <c r="R228">
        <f t="shared" si="21"/>
        <v>1</v>
      </c>
      <c r="S228" t="str">
        <f t="shared" si="22"/>
        <v>Normal</v>
      </c>
      <c r="U228" t="str">
        <f t="shared" si="23"/>
        <v>2025-01</v>
      </c>
    </row>
    <row r="229" spans="1:21" x14ac:dyDescent="0.35">
      <c r="A229" t="s">
        <v>241</v>
      </c>
      <c r="B229" t="s">
        <v>736</v>
      </c>
      <c r="C229" t="s">
        <v>1230</v>
      </c>
      <c r="D229" t="s">
        <v>1502</v>
      </c>
      <c r="E229" s="9" t="s">
        <v>1508</v>
      </c>
      <c r="F229" s="9" t="s">
        <v>1514</v>
      </c>
      <c r="G229" s="7">
        <v>45779</v>
      </c>
      <c r="H229" s="5">
        <v>30</v>
      </c>
      <c r="I229" s="3">
        <v>0</v>
      </c>
      <c r="J229" t="s">
        <v>1516</v>
      </c>
      <c r="K229" t="s">
        <v>1521</v>
      </c>
      <c r="L229" t="s">
        <v>1525</v>
      </c>
      <c r="M229">
        <v>20</v>
      </c>
      <c r="N229" t="s">
        <v>1528</v>
      </c>
      <c r="O229">
        <f t="shared" si="18"/>
        <v>2025</v>
      </c>
      <c r="P229">
        <f t="shared" si="19"/>
        <v>5</v>
      </c>
      <c r="Q229" s="3">
        <f t="shared" si="20"/>
        <v>5.747802197802196</v>
      </c>
      <c r="R229">
        <f t="shared" si="21"/>
        <v>1</v>
      </c>
      <c r="S229" t="str">
        <f t="shared" si="22"/>
        <v>Normal</v>
      </c>
      <c r="U229" t="str">
        <f t="shared" si="23"/>
        <v>2025-05</v>
      </c>
    </row>
    <row r="230" spans="1:21" x14ac:dyDescent="0.35">
      <c r="A230" t="s">
        <v>242</v>
      </c>
      <c r="B230" t="s">
        <v>737</v>
      </c>
      <c r="C230" t="s">
        <v>1231</v>
      </c>
      <c r="D230" t="s">
        <v>1506</v>
      </c>
      <c r="E230" s="9" t="s">
        <v>1507</v>
      </c>
      <c r="F230" s="9" t="s">
        <v>1511</v>
      </c>
      <c r="G230" s="7">
        <v>45804</v>
      </c>
      <c r="H230" s="5">
        <v>48</v>
      </c>
      <c r="I230" s="3">
        <v>0</v>
      </c>
      <c r="J230" t="s">
        <v>1516</v>
      </c>
      <c r="K230" t="s">
        <v>1523</v>
      </c>
      <c r="L230" t="s">
        <v>1525</v>
      </c>
      <c r="M230">
        <v>36</v>
      </c>
      <c r="N230" t="s">
        <v>1528</v>
      </c>
      <c r="O230">
        <f t="shared" si="18"/>
        <v>2025</v>
      </c>
      <c r="P230">
        <f t="shared" si="19"/>
        <v>5</v>
      </c>
      <c r="Q230" s="3">
        <f t="shared" si="20"/>
        <v>5.7689338235294105</v>
      </c>
      <c r="R230">
        <f t="shared" si="21"/>
        <v>0</v>
      </c>
      <c r="S230" t="str">
        <f t="shared" si="22"/>
        <v>Normal</v>
      </c>
      <c r="U230" t="str">
        <f t="shared" si="23"/>
        <v>2025-05</v>
      </c>
    </row>
    <row r="231" spans="1:21" x14ac:dyDescent="0.35">
      <c r="A231" t="s">
        <v>243</v>
      </c>
      <c r="B231" t="s">
        <v>738</v>
      </c>
      <c r="C231" t="s">
        <v>1232</v>
      </c>
      <c r="D231" t="s">
        <v>1504</v>
      </c>
      <c r="E231" s="9" t="s">
        <v>1509</v>
      </c>
      <c r="F231" s="9" t="s">
        <v>1511</v>
      </c>
      <c r="G231" s="7">
        <v>45795</v>
      </c>
      <c r="H231" s="5">
        <v>98</v>
      </c>
      <c r="I231" s="3">
        <v>27.66</v>
      </c>
      <c r="J231" t="s">
        <v>1517</v>
      </c>
      <c r="K231" t="s">
        <v>1521</v>
      </c>
      <c r="L231" t="s">
        <v>1526</v>
      </c>
      <c r="M231">
        <v>27</v>
      </c>
      <c r="N231" t="s">
        <v>1528</v>
      </c>
      <c r="O231">
        <f t="shared" si="18"/>
        <v>2025</v>
      </c>
      <c r="P231">
        <f t="shared" si="19"/>
        <v>5</v>
      </c>
      <c r="Q231" s="3">
        <f t="shared" si="20"/>
        <v>5.790221402214021</v>
      </c>
      <c r="R231">
        <f t="shared" si="21"/>
        <v>1</v>
      </c>
      <c r="S231" t="str">
        <f t="shared" si="22"/>
        <v>Normal</v>
      </c>
      <c r="U231" t="str">
        <f t="shared" si="23"/>
        <v>2025-05</v>
      </c>
    </row>
    <row r="232" spans="1:21" x14ac:dyDescent="0.35">
      <c r="A232" t="s">
        <v>244</v>
      </c>
      <c r="B232" t="s">
        <v>739</v>
      </c>
      <c r="C232" t="s">
        <v>1233</v>
      </c>
      <c r="D232" t="s">
        <v>1503</v>
      </c>
      <c r="E232" s="9" t="s">
        <v>1508</v>
      </c>
      <c r="F232" s="9" t="s">
        <v>1512</v>
      </c>
      <c r="G232" s="7">
        <v>45693</v>
      </c>
      <c r="H232" s="5">
        <v>23</v>
      </c>
      <c r="I232" s="3">
        <v>24.09</v>
      </c>
      <c r="J232" t="s">
        <v>1520</v>
      </c>
      <c r="K232" t="s">
        <v>1524</v>
      </c>
      <c r="L232" t="s">
        <v>1526</v>
      </c>
      <c r="M232">
        <v>23</v>
      </c>
      <c r="N232" t="s">
        <v>1528</v>
      </c>
      <c r="O232">
        <f t="shared" si="18"/>
        <v>2025</v>
      </c>
      <c r="P232">
        <f t="shared" si="19"/>
        <v>2</v>
      </c>
      <c r="Q232" s="3">
        <f t="shared" si="20"/>
        <v>5.7092222222222206</v>
      </c>
      <c r="R232">
        <f t="shared" si="21"/>
        <v>0</v>
      </c>
      <c r="S232" t="str">
        <f t="shared" si="22"/>
        <v>Normal</v>
      </c>
      <c r="U232" t="str">
        <f t="shared" si="23"/>
        <v>2025-02</v>
      </c>
    </row>
    <row r="233" spans="1:21" x14ac:dyDescent="0.35">
      <c r="A233" t="s">
        <v>245</v>
      </c>
      <c r="B233" t="s">
        <v>740</v>
      </c>
      <c r="C233" t="s">
        <v>1234</v>
      </c>
      <c r="D233" t="s">
        <v>1503</v>
      </c>
      <c r="E233" s="9" t="s">
        <v>1507</v>
      </c>
      <c r="F233" s="9" t="s">
        <v>1515</v>
      </c>
      <c r="G233" s="7">
        <v>45786</v>
      </c>
      <c r="H233" s="5">
        <v>146</v>
      </c>
      <c r="I233" s="3">
        <v>43.02</v>
      </c>
      <c r="J233" t="s">
        <v>1520</v>
      </c>
      <c r="K233" t="s">
        <v>1521</v>
      </c>
      <c r="L233" t="s">
        <v>1526</v>
      </c>
      <c r="M233">
        <v>24</v>
      </c>
      <c r="N233" t="s">
        <v>1527</v>
      </c>
      <c r="O233">
        <f t="shared" si="18"/>
        <v>2025</v>
      </c>
      <c r="P233">
        <f t="shared" si="19"/>
        <v>5</v>
      </c>
      <c r="Q233" s="3">
        <f t="shared" si="20"/>
        <v>5.6408921933085487</v>
      </c>
      <c r="R233">
        <f t="shared" si="21"/>
        <v>1</v>
      </c>
      <c r="S233" t="str">
        <f t="shared" si="22"/>
        <v>Normal</v>
      </c>
      <c r="U233" t="str">
        <f t="shared" si="23"/>
        <v>2025-05</v>
      </c>
    </row>
    <row r="234" spans="1:21" x14ac:dyDescent="0.35">
      <c r="A234" t="s">
        <v>246</v>
      </c>
      <c r="B234" t="s">
        <v>741</v>
      </c>
      <c r="C234" t="s">
        <v>1235</v>
      </c>
      <c r="D234" t="s">
        <v>1504</v>
      </c>
      <c r="E234" s="9" t="s">
        <v>1509</v>
      </c>
      <c r="F234" s="9" t="s">
        <v>1513</v>
      </c>
      <c r="G234" s="7">
        <v>45757</v>
      </c>
      <c r="H234" s="5">
        <v>55</v>
      </c>
      <c r="I234" s="3">
        <v>0</v>
      </c>
      <c r="J234" t="s">
        <v>1516</v>
      </c>
      <c r="K234" t="s">
        <v>1521</v>
      </c>
      <c r="L234" t="s">
        <v>1525</v>
      </c>
      <c r="M234">
        <v>20</v>
      </c>
      <c r="N234" t="s">
        <v>1528</v>
      </c>
      <c r="O234">
        <f t="shared" si="18"/>
        <v>2025</v>
      </c>
      <c r="P234">
        <f t="shared" si="19"/>
        <v>4</v>
      </c>
      <c r="Q234" s="3">
        <f t="shared" si="20"/>
        <v>5.5014179104477607</v>
      </c>
      <c r="R234">
        <f t="shared" si="21"/>
        <v>1</v>
      </c>
      <c r="S234" t="str">
        <f t="shared" si="22"/>
        <v>Normal</v>
      </c>
      <c r="U234" t="str">
        <f t="shared" si="23"/>
        <v>2025-04</v>
      </c>
    </row>
    <row r="235" spans="1:21" x14ac:dyDescent="0.35">
      <c r="A235" t="s">
        <v>247</v>
      </c>
      <c r="B235" t="s">
        <v>742</v>
      </c>
      <c r="C235" t="s">
        <v>1236</v>
      </c>
      <c r="D235" t="s">
        <v>1503</v>
      </c>
      <c r="E235" s="9" t="s">
        <v>1508</v>
      </c>
      <c r="F235" s="9" t="s">
        <v>1512</v>
      </c>
      <c r="G235" s="7">
        <v>45652</v>
      </c>
      <c r="H235" s="5">
        <v>154</v>
      </c>
      <c r="I235" s="3">
        <v>0</v>
      </c>
      <c r="J235" t="s">
        <v>1516</v>
      </c>
      <c r="K235" t="s">
        <v>1521</v>
      </c>
      <c r="L235" t="s">
        <v>1525</v>
      </c>
      <c r="M235">
        <v>22</v>
      </c>
      <c r="N235" t="s">
        <v>1527</v>
      </c>
      <c r="O235">
        <f t="shared" si="18"/>
        <v>2024</v>
      </c>
      <c r="P235">
        <f t="shared" si="19"/>
        <v>12</v>
      </c>
      <c r="Q235" s="3">
        <f t="shared" si="20"/>
        <v>5.5220224719101116</v>
      </c>
      <c r="R235">
        <f t="shared" si="21"/>
        <v>1</v>
      </c>
      <c r="S235" t="str">
        <f t="shared" si="22"/>
        <v>Normal</v>
      </c>
      <c r="U235" t="str">
        <f t="shared" si="23"/>
        <v>2024-12</v>
      </c>
    </row>
    <row r="236" spans="1:21" x14ac:dyDescent="0.35">
      <c r="A236" t="s">
        <v>248</v>
      </c>
      <c r="B236" t="s">
        <v>743</v>
      </c>
      <c r="C236" t="s">
        <v>1237</v>
      </c>
      <c r="D236" t="s">
        <v>1502</v>
      </c>
      <c r="E236" s="9" t="s">
        <v>1509</v>
      </c>
      <c r="F236" s="9" t="s">
        <v>1515</v>
      </c>
      <c r="G236" s="7">
        <v>45764</v>
      </c>
      <c r="H236" s="5">
        <v>163</v>
      </c>
      <c r="I236" s="3">
        <v>0</v>
      </c>
      <c r="J236" t="s">
        <v>1516</v>
      </c>
      <c r="K236" t="s">
        <v>1521</v>
      </c>
      <c r="L236" t="s">
        <v>1525</v>
      </c>
      <c r="M236">
        <v>46</v>
      </c>
      <c r="N236" t="s">
        <v>1527</v>
      </c>
      <c r="O236">
        <f t="shared" si="18"/>
        <v>2025</v>
      </c>
      <c r="P236">
        <f t="shared" si="19"/>
        <v>4</v>
      </c>
      <c r="Q236" s="3">
        <f t="shared" si="20"/>
        <v>5.5427819548872179</v>
      </c>
      <c r="R236">
        <f t="shared" si="21"/>
        <v>1</v>
      </c>
      <c r="S236" t="str">
        <f t="shared" si="22"/>
        <v>Normal</v>
      </c>
      <c r="U236" t="str">
        <f t="shared" si="23"/>
        <v>2025-04</v>
      </c>
    </row>
    <row r="237" spans="1:21" x14ac:dyDescent="0.35">
      <c r="A237" t="s">
        <v>249</v>
      </c>
      <c r="B237" t="s">
        <v>744</v>
      </c>
      <c r="C237" t="s">
        <v>1238</v>
      </c>
      <c r="D237" t="s">
        <v>1504</v>
      </c>
      <c r="E237" s="9" t="s">
        <v>1509</v>
      </c>
      <c r="F237" s="9" t="s">
        <v>1513</v>
      </c>
      <c r="G237" s="7">
        <v>45759</v>
      </c>
      <c r="H237" s="5">
        <v>59</v>
      </c>
      <c r="I237" s="3">
        <v>0</v>
      </c>
      <c r="J237" t="s">
        <v>1516</v>
      </c>
      <c r="K237" t="s">
        <v>1522</v>
      </c>
      <c r="L237" t="s">
        <v>1525</v>
      </c>
      <c r="M237">
        <v>5</v>
      </c>
      <c r="N237" t="s">
        <v>1528</v>
      </c>
      <c r="O237">
        <f t="shared" si="18"/>
        <v>2025</v>
      </c>
      <c r="P237">
        <f t="shared" si="19"/>
        <v>4</v>
      </c>
      <c r="Q237" s="3">
        <f t="shared" si="20"/>
        <v>5.5636981132075469</v>
      </c>
      <c r="R237">
        <f t="shared" si="21"/>
        <v>0</v>
      </c>
      <c r="S237" t="str">
        <f t="shared" si="22"/>
        <v>Normal</v>
      </c>
      <c r="U237" t="str">
        <f t="shared" si="23"/>
        <v>2025-04</v>
      </c>
    </row>
    <row r="238" spans="1:21" x14ac:dyDescent="0.35">
      <c r="A238" t="s">
        <v>250</v>
      </c>
      <c r="B238" t="s">
        <v>745</v>
      </c>
      <c r="C238" t="s">
        <v>1239</v>
      </c>
      <c r="D238" t="s">
        <v>1504</v>
      </c>
      <c r="E238" s="9" t="s">
        <v>1509</v>
      </c>
      <c r="F238" s="9" t="s">
        <v>1513</v>
      </c>
      <c r="G238" s="7">
        <v>45703</v>
      </c>
      <c r="H238" s="5">
        <v>26</v>
      </c>
      <c r="I238" s="3">
        <v>11.67</v>
      </c>
      <c r="J238" t="s">
        <v>1517</v>
      </c>
      <c r="K238" t="s">
        <v>1521</v>
      </c>
      <c r="L238" t="s">
        <v>1526</v>
      </c>
      <c r="M238">
        <v>49</v>
      </c>
      <c r="N238" t="s">
        <v>1528</v>
      </c>
      <c r="O238">
        <f t="shared" si="18"/>
        <v>2025</v>
      </c>
      <c r="P238">
        <f t="shared" si="19"/>
        <v>2</v>
      </c>
      <c r="Q238" s="3">
        <f t="shared" si="20"/>
        <v>5.5847727272727266</v>
      </c>
      <c r="R238">
        <f t="shared" si="21"/>
        <v>1</v>
      </c>
      <c r="S238" t="str">
        <f t="shared" si="22"/>
        <v>Normal</v>
      </c>
      <c r="U238" t="str">
        <f t="shared" si="23"/>
        <v>2025-02</v>
      </c>
    </row>
    <row r="239" spans="1:21" x14ac:dyDescent="0.35">
      <c r="A239" t="s">
        <v>251</v>
      </c>
      <c r="B239" t="s">
        <v>746</v>
      </c>
      <c r="C239" t="s">
        <v>1240</v>
      </c>
      <c r="D239" t="s">
        <v>1505</v>
      </c>
      <c r="E239" s="9" t="s">
        <v>1508</v>
      </c>
      <c r="F239" s="9" t="s">
        <v>1512</v>
      </c>
      <c r="G239" s="7">
        <v>45715</v>
      </c>
      <c r="H239" s="5">
        <v>117</v>
      </c>
      <c r="I239" s="3">
        <v>0</v>
      </c>
      <c r="J239" t="s">
        <v>1516</v>
      </c>
      <c r="K239" t="s">
        <v>1523</v>
      </c>
      <c r="L239" t="s">
        <v>1525</v>
      </c>
      <c r="M239">
        <v>21</v>
      </c>
      <c r="N239" t="s">
        <v>1528</v>
      </c>
      <c r="O239">
        <f t="shared" si="18"/>
        <v>2025</v>
      </c>
      <c r="P239">
        <f t="shared" si="19"/>
        <v>2</v>
      </c>
      <c r="Q239" s="3">
        <f t="shared" si="20"/>
        <v>5.5616349809885923</v>
      </c>
      <c r="R239">
        <f t="shared" si="21"/>
        <v>0</v>
      </c>
      <c r="S239" t="str">
        <f t="shared" si="22"/>
        <v>Normal</v>
      </c>
      <c r="U239" t="str">
        <f t="shared" si="23"/>
        <v>2025-02</v>
      </c>
    </row>
    <row r="240" spans="1:21" x14ac:dyDescent="0.35">
      <c r="A240" t="s">
        <v>252</v>
      </c>
      <c r="B240" t="s">
        <v>747</v>
      </c>
      <c r="C240" t="s">
        <v>1241</v>
      </c>
      <c r="D240" t="s">
        <v>1504</v>
      </c>
      <c r="E240" s="9" t="s">
        <v>1508</v>
      </c>
      <c r="F240" s="9" t="s">
        <v>1514</v>
      </c>
      <c r="G240" s="7">
        <v>45684</v>
      </c>
      <c r="H240" s="5">
        <v>112</v>
      </c>
      <c r="I240" s="3">
        <v>2.2599999999999998</v>
      </c>
      <c r="J240" t="s">
        <v>1518</v>
      </c>
      <c r="K240" t="s">
        <v>1521</v>
      </c>
      <c r="L240" t="s">
        <v>1526</v>
      </c>
      <c r="M240">
        <v>22</v>
      </c>
      <c r="N240" t="s">
        <v>1528</v>
      </c>
      <c r="O240">
        <f t="shared" si="18"/>
        <v>2025</v>
      </c>
      <c r="P240">
        <f t="shared" si="19"/>
        <v>1</v>
      </c>
      <c r="Q240" s="3">
        <f t="shared" si="20"/>
        <v>5.5828625954198463</v>
      </c>
      <c r="R240">
        <f t="shared" si="21"/>
        <v>1</v>
      </c>
      <c r="S240" t="str">
        <f t="shared" si="22"/>
        <v>Normal</v>
      </c>
      <c r="U240" t="str">
        <f t="shared" si="23"/>
        <v>2025-01</v>
      </c>
    </row>
    <row r="241" spans="1:21" x14ac:dyDescent="0.35">
      <c r="A241" t="s">
        <v>253</v>
      </c>
      <c r="B241" t="s">
        <v>748</v>
      </c>
      <c r="C241" t="s">
        <v>1242</v>
      </c>
      <c r="D241" t="s">
        <v>1504</v>
      </c>
      <c r="E241" s="9" t="s">
        <v>1507</v>
      </c>
      <c r="F241" s="9" t="s">
        <v>1510</v>
      </c>
      <c r="G241" s="7">
        <v>45749</v>
      </c>
      <c r="H241" s="5">
        <v>116</v>
      </c>
      <c r="I241" s="3">
        <v>0</v>
      </c>
      <c r="J241" t="s">
        <v>1516</v>
      </c>
      <c r="K241" t="s">
        <v>1524</v>
      </c>
      <c r="L241" t="s">
        <v>1526</v>
      </c>
      <c r="M241">
        <v>11</v>
      </c>
      <c r="N241" t="s">
        <v>1528</v>
      </c>
      <c r="O241">
        <f t="shared" si="18"/>
        <v>2025</v>
      </c>
      <c r="P241">
        <f t="shared" si="19"/>
        <v>4</v>
      </c>
      <c r="Q241" s="3">
        <f t="shared" si="20"/>
        <v>5.5955938697318004</v>
      </c>
      <c r="R241">
        <f t="shared" si="21"/>
        <v>0</v>
      </c>
      <c r="S241" t="str">
        <f t="shared" si="22"/>
        <v>Normal</v>
      </c>
      <c r="U241" t="str">
        <f t="shared" si="23"/>
        <v>2025-04</v>
      </c>
    </row>
    <row r="242" spans="1:21" x14ac:dyDescent="0.35">
      <c r="A242" t="s">
        <v>254</v>
      </c>
      <c r="B242" t="s">
        <v>749</v>
      </c>
      <c r="C242" t="s">
        <v>1243</v>
      </c>
      <c r="D242" t="s">
        <v>1505</v>
      </c>
      <c r="E242" s="9" t="s">
        <v>1507</v>
      </c>
      <c r="F242" s="9" t="s">
        <v>1514</v>
      </c>
      <c r="G242" s="7">
        <v>45764</v>
      </c>
      <c r="H242" s="5">
        <v>8</v>
      </c>
      <c r="I242" s="3">
        <v>36.39</v>
      </c>
      <c r="J242" t="s">
        <v>1517</v>
      </c>
      <c r="K242" t="s">
        <v>1521</v>
      </c>
      <c r="L242" t="s">
        <v>1526</v>
      </c>
      <c r="M242">
        <v>22</v>
      </c>
      <c r="N242" t="s">
        <v>1528</v>
      </c>
      <c r="O242">
        <f t="shared" si="18"/>
        <v>2025</v>
      </c>
      <c r="P242">
        <f t="shared" si="19"/>
        <v>4</v>
      </c>
      <c r="Q242" s="3">
        <f t="shared" si="20"/>
        <v>5.6171153846153841</v>
      </c>
      <c r="R242">
        <f t="shared" si="21"/>
        <v>1</v>
      </c>
      <c r="S242" t="str">
        <f t="shared" si="22"/>
        <v>Normal</v>
      </c>
      <c r="U242" t="str">
        <f t="shared" si="23"/>
        <v>2025-04</v>
      </c>
    </row>
    <row r="243" spans="1:21" x14ac:dyDescent="0.35">
      <c r="A243" t="s">
        <v>255</v>
      </c>
      <c r="B243" t="s">
        <v>750</v>
      </c>
      <c r="C243" t="s">
        <v>1244</v>
      </c>
      <c r="D243" t="s">
        <v>1503</v>
      </c>
      <c r="E243" s="9" t="s">
        <v>1507</v>
      </c>
      <c r="F243" s="9" t="s">
        <v>1513</v>
      </c>
      <c r="G243" s="7">
        <v>45660</v>
      </c>
      <c r="H243" s="5">
        <v>115</v>
      </c>
      <c r="I243" s="3">
        <v>0</v>
      </c>
      <c r="J243" t="s">
        <v>1516</v>
      </c>
      <c r="K243" t="s">
        <v>1521</v>
      </c>
      <c r="L243" t="s">
        <v>1525</v>
      </c>
      <c r="M243">
        <v>18</v>
      </c>
      <c r="N243" t="s">
        <v>1528</v>
      </c>
      <c r="O243">
        <f t="shared" si="18"/>
        <v>2025</v>
      </c>
      <c r="P243">
        <f t="shared" si="19"/>
        <v>1</v>
      </c>
      <c r="Q243" s="3">
        <f t="shared" si="20"/>
        <v>5.4983011583011576</v>
      </c>
      <c r="R243">
        <f t="shared" si="21"/>
        <v>1</v>
      </c>
      <c r="S243" t="str">
        <f t="shared" si="22"/>
        <v>Normal</v>
      </c>
      <c r="U243" t="str">
        <f t="shared" si="23"/>
        <v>2025-01</v>
      </c>
    </row>
    <row r="244" spans="1:21" x14ac:dyDescent="0.35">
      <c r="A244" t="s">
        <v>256</v>
      </c>
      <c r="B244" t="s">
        <v>751</v>
      </c>
      <c r="C244" t="s">
        <v>1245</v>
      </c>
      <c r="D244" t="s">
        <v>1502</v>
      </c>
      <c r="E244" s="9" t="s">
        <v>1508</v>
      </c>
      <c r="F244" s="9" t="s">
        <v>1512</v>
      </c>
      <c r="G244" s="7">
        <v>45803</v>
      </c>
      <c r="H244" s="5">
        <v>144</v>
      </c>
      <c r="I244" s="3">
        <v>0</v>
      </c>
      <c r="J244" t="s">
        <v>1516</v>
      </c>
      <c r="K244" t="s">
        <v>1523</v>
      </c>
      <c r="L244" t="s">
        <v>1525</v>
      </c>
      <c r="M244">
        <v>18</v>
      </c>
      <c r="N244" t="s">
        <v>1528</v>
      </c>
      <c r="O244">
        <f t="shared" si="18"/>
        <v>2025</v>
      </c>
      <c r="P244">
        <f t="shared" si="19"/>
        <v>5</v>
      </c>
      <c r="Q244" s="3">
        <f t="shared" si="20"/>
        <v>5.5196124031007745</v>
      </c>
      <c r="R244">
        <f t="shared" si="21"/>
        <v>0</v>
      </c>
      <c r="S244" t="str">
        <f t="shared" si="22"/>
        <v>Normal</v>
      </c>
      <c r="U244" t="str">
        <f t="shared" si="23"/>
        <v>2025-05</v>
      </c>
    </row>
    <row r="245" spans="1:21" x14ac:dyDescent="0.35">
      <c r="A245" t="s">
        <v>257</v>
      </c>
      <c r="B245" t="s">
        <v>752</v>
      </c>
      <c r="C245" t="s">
        <v>1246</v>
      </c>
      <c r="D245" t="s">
        <v>1506</v>
      </c>
      <c r="E245" s="9" t="s">
        <v>1507</v>
      </c>
      <c r="F245" s="9" t="s">
        <v>1513</v>
      </c>
      <c r="G245" s="7">
        <v>45749</v>
      </c>
      <c r="H245" s="5">
        <v>175</v>
      </c>
      <c r="I245" s="3">
        <v>7.47</v>
      </c>
      <c r="J245" t="s">
        <v>1520</v>
      </c>
      <c r="K245" t="s">
        <v>1521</v>
      </c>
      <c r="L245" t="s">
        <v>1526</v>
      </c>
      <c r="M245">
        <v>17</v>
      </c>
      <c r="N245" t="s">
        <v>1527</v>
      </c>
      <c r="O245">
        <f t="shared" si="18"/>
        <v>2025</v>
      </c>
      <c r="P245">
        <f t="shared" si="19"/>
        <v>4</v>
      </c>
      <c r="Q245" s="3">
        <f t="shared" si="20"/>
        <v>5.5410894941634234</v>
      </c>
      <c r="R245">
        <f t="shared" si="21"/>
        <v>1</v>
      </c>
      <c r="S245" t="str">
        <f t="shared" si="22"/>
        <v>Suspicious</v>
      </c>
      <c r="U245" t="str">
        <f t="shared" si="23"/>
        <v>2025-04</v>
      </c>
    </row>
    <row r="246" spans="1:21" x14ac:dyDescent="0.35">
      <c r="A246" t="s">
        <v>258</v>
      </c>
      <c r="B246" t="s">
        <v>753</v>
      </c>
      <c r="C246" t="s">
        <v>1247</v>
      </c>
      <c r="D246" t="s">
        <v>1504</v>
      </c>
      <c r="E246" s="9" t="s">
        <v>1508</v>
      </c>
      <c r="F246" s="9" t="s">
        <v>1511</v>
      </c>
      <c r="G246" s="7">
        <v>45675</v>
      </c>
      <c r="H246" s="5">
        <v>142</v>
      </c>
      <c r="I246" s="3">
        <v>0</v>
      </c>
      <c r="J246" t="s">
        <v>1516</v>
      </c>
      <c r="K246" t="s">
        <v>1521</v>
      </c>
      <c r="L246" t="s">
        <v>1525</v>
      </c>
      <c r="M246">
        <v>11</v>
      </c>
      <c r="N246" t="s">
        <v>1528</v>
      </c>
      <c r="O246">
        <f t="shared" si="18"/>
        <v>2025</v>
      </c>
      <c r="P246">
        <f t="shared" si="19"/>
        <v>1</v>
      </c>
      <c r="Q246" s="3">
        <f t="shared" si="20"/>
        <v>5.5335546874999997</v>
      </c>
      <c r="R246">
        <f t="shared" si="21"/>
        <v>1</v>
      </c>
      <c r="S246" t="str">
        <f t="shared" si="22"/>
        <v>Normal</v>
      </c>
      <c r="U246" t="str">
        <f t="shared" si="23"/>
        <v>2025-01</v>
      </c>
    </row>
    <row r="247" spans="1:21" x14ac:dyDescent="0.35">
      <c r="A247" t="s">
        <v>259</v>
      </c>
      <c r="B247" t="s">
        <v>754</v>
      </c>
      <c r="C247" t="s">
        <v>1248</v>
      </c>
      <c r="D247" t="s">
        <v>1502</v>
      </c>
      <c r="E247" s="9" t="s">
        <v>1507</v>
      </c>
      <c r="F247" s="9" t="s">
        <v>1511</v>
      </c>
      <c r="G247" s="7">
        <v>45675</v>
      </c>
      <c r="H247" s="5">
        <v>154</v>
      </c>
      <c r="I247" s="3">
        <v>0</v>
      </c>
      <c r="J247" t="s">
        <v>1516</v>
      </c>
      <c r="K247" t="s">
        <v>1521</v>
      </c>
      <c r="L247" t="s">
        <v>1525</v>
      </c>
      <c r="M247">
        <v>8</v>
      </c>
      <c r="N247" t="s">
        <v>1527</v>
      </c>
      <c r="O247">
        <f t="shared" si="18"/>
        <v>2025</v>
      </c>
      <c r="P247">
        <f t="shared" si="19"/>
        <v>1</v>
      </c>
      <c r="Q247" s="3">
        <f t="shared" si="20"/>
        <v>5.555254901960784</v>
      </c>
      <c r="R247">
        <f t="shared" si="21"/>
        <v>1</v>
      </c>
      <c r="S247" t="str">
        <f t="shared" si="22"/>
        <v>Normal</v>
      </c>
      <c r="U247" t="str">
        <f t="shared" si="23"/>
        <v>2025-01</v>
      </c>
    </row>
    <row r="248" spans="1:21" x14ac:dyDescent="0.35">
      <c r="A248" t="s">
        <v>260</v>
      </c>
      <c r="B248" t="s">
        <v>755</v>
      </c>
      <c r="C248" t="s">
        <v>1249</v>
      </c>
      <c r="D248" t="s">
        <v>1504</v>
      </c>
      <c r="E248" s="9" t="s">
        <v>1508</v>
      </c>
      <c r="F248" s="9" t="s">
        <v>1515</v>
      </c>
      <c r="G248" s="7">
        <v>45680</v>
      </c>
      <c r="H248" s="5">
        <v>33</v>
      </c>
      <c r="I248" s="3">
        <v>0</v>
      </c>
      <c r="J248" t="s">
        <v>1516</v>
      </c>
      <c r="K248" t="s">
        <v>1521</v>
      </c>
      <c r="L248" t="s">
        <v>1525</v>
      </c>
      <c r="M248">
        <v>9</v>
      </c>
      <c r="N248" t="s">
        <v>1528</v>
      </c>
      <c r="O248">
        <f t="shared" si="18"/>
        <v>2025</v>
      </c>
      <c r="P248">
        <f t="shared" si="19"/>
        <v>1</v>
      </c>
      <c r="Q248" s="3">
        <f t="shared" si="20"/>
        <v>5.5771259842519685</v>
      </c>
      <c r="R248">
        <f t="shared" si="21"/>
        <v>1</v>
      </c>
      <c r="S248" t="str">
        <f t="shared" si="22"/>
        <v>Normal</v>
      </c>
      <c r="U248" t="str">
        <f t="shared" si="23"/>
        <v>2025-01</v>
      </c>
    </row>
    <row r="249" spans="1:21" x14ac:dyDescent="0.35">
      <c r="A249" t="s">
        <v>261</v>
      </c>
      <c r="B249" t="s">
        <v>756</v>
      </c>
      <c r="C249" t="s">
        <v>1250</v>
      </c>
      <c r="D249" t="s">
        <v>1504</v>
      </c>
      <c r="E249" s="9" t="s">
        <v>1508</v>
      </c>
      <c r="F249" s="9" t="s">
        <v>1515</v>
      </c>
      <c r="G249" s="7">
        <v>45772</v>
      </c>
      <c r="H249" s="5">
        <v>91</v>
      </c>
      <c r="I249" s="3">
        <v>0</v>
      </c>
      <c r="J249" t="s">
        <v>1516</v>
      </c>
      <c r="K249" t="s">
        <v>1523</v>
      </c>
      <c r="L249" t="s">
        <v>1525</v>
      </c>
      <c r="M249">
        <v>44</v>
      </c>
      <c r="N249" t="s">
        <v>1528</v>
      </c>
      <c r="O249">
        <f t="shared" si="18"/>
        <v>2025</v>
      </c>
      <c r="P249">
        <f t="shared" si="19"/>
        <v>4</v>
      </c>
      <c r="Q249" s="3">
        <f t="shared" si="20"/>
        <v>5.5991699604743079</v>
      </c>
      <c r="R249">
        <f t="shared" si="21"/>
        <v>0</v>
      </c>
      <c r="S249" t="str">
        <f t="shared" si="22"/>
        <v>Normal</v>
      </c>
      <c r="U249" t="str">
        <f t="shared" si="23"/>
        <v>2025-04</v>
      </c>
    </row>
    <row r="250" spans="1:21" x14ac:dyDescent="0.35">
      <c r="A250" t="s">
        <v>262</v>
      </c>
      <c r="B250" t="s">
        <v>757</v>
      </c>
      <c r="C250" t="s">
        <v>1251</v>
      </c>
      <c r="D250" t="s">
        <v>1505</v>
      </c>
      <c r="E250" s="9" t="s">
        <v>1509</v>
      </c>
      <c r="F250" s="9" t="s">
        <v>1515</v>
      </c>
      <c r="G250" s="7">
        <v>45684</v>
      </c>
      <c r="H250" s="5">
        <v>36</v>
      </c>
      <c r="I250" s="3">
        <v>0</v>
      </c>
      <c r="J250" t="s">
        <v>1516</v>
      </c>
      <c r="K250" t="s">
        <v>1521</v>
      </c>
      <c r="L250" t="s">
        <v>1525</v>
      </c>
      <c r="M250">
        <v>36</v>
      </c>
      <c r="N250" t="s">
        <v>1528</v>
      </c>
      <c r="O250">
        <f t="shared" si="18"/>
        <v>2025</v>
      </c>
      <c r="P250">
        <f t="shared" si="19"/>
        <v>1</v>
      </c>
      <c r="Q250" s="3">
        <f t="shared" si="20"/>
        <v>5.6213888888888883</v>
      </c>
      <c r="R250">
        <f t="shared" si="21"/>
        <v>1</v>
      </c>
      <c r="S250" t="str">
        <f t="shared" si="22"/>
        <v>Normal</v>
      </c>
      <c r="U250" t="str">
        <f t="shared" si="23"/>
        <v>2025-01</v>
      </c>
    </row>
    <row r="251" spans="1:21" x14ac:dyDescent="0.35">
      <c r="A251" t="s">
        <v>263</v>
      </c>
      <c r="B251" t="s">
        <v>758</v>
      </c>
      <c r="C251" t="s">
        <v>1252</v>
      </c>
      <c r="D251" t="s">
        <v>1502</v>
      </c>
      <c r="E251" s="9" t="s">
        <v>1508</v>
      </c>
      <c r="F251" s="9" t="s">
        <v>1513</v>
      </c>
      <c r="G251" s="7">
        <v>45703</v>
      </c>
      <c r="H251" s="5">
        <v>66</v>
      </c>
      <c r="I251" s="3">
        <v>0</v>
      </c>
      <c r="J251" t="s">
        <v>1516</v>
      </c>
      <c r="K251" t="s">
        <v>1524</v>
      </c>
      <c r="L251" t="s">
        <v>1526</v>
      </c>
      <c r="M251">
        <v>38</v>
      </c>
      <c r="N251" t="s">
        <v>1528</v>
      </c>
      <c r="O251">
        <f t="shared" si="18"/>
        <v>2025</v>
      </c>
      <c r="P251">
        <f t="shared" si="19"/>
        <v>2</v>
      </c>
      <c r="Q251" s="3">
        <f t="shared" si="20"/>
        <v>5.6437848605577683</v>
      </c>
      <c r="R251">
        <f t="shared" si="21"/>
        <v>0</v>
      </c>
      <c r="S251" t="str">
        <f t="shared" si="22"/>
        <v>Normal</v>
      </c>
      <c r="U251" t="str">
        <f t="shared" si="23"/>
        <v>2025-02</v>
      </c>
    </row>
    <row r="252" spans="1:21" x14ac:dyDescent="0.35">
      <c r="A252" t="s">
        <v>264</v>
      </c>
      <c r="B252" t="s">
        <v>759</v>
      </c>
      <c r="C252" t="s">
        <v>1253</v>
      </c>
      <c r="D252" t="s">
        <v>1502</v>
      </c>
      <c r="E252" s="9" t="s">
        <v>1507</v>
      </c>
      <c r="F252" s="9" t="s">
        <v>1513</v>
      </c>
      <c r="G252" s="7">
        <v>45691</v>
      </c>
      <c r="H252" s="5">
        <v>38</v>
      </c>
      <c r="I252" s="3">
        <v>30.6</v>
      </c>
      <c r="J252" t="s">
        <v>1518</v>
      </c>
      <c r="K252" t="s">
        <v>1521</v>
      </c>
      <c r="L252" t="s">
        <v>1526</v>
      </c>
      <c r="M252">
        <v>27</v>
      </c>
      <c r="N252" t="s">
        <v>1528</v>
      </c>
      <c r="O252">
        <f t="shared" si="18"/>
        <v>2025</v>
      </c>
      <c r="P252">
        <f t="shared" si="19"/>
        <v>2</v>
      </c>
      <c r="Q252" s="3">
        <f t="shared" si="20"/>
        <v>5.6663600000000001</v>
      </c>
      <c r="R252">
        <f t="shared" si="21"/>
        <v>1</v>
      </c>
      <c r="S252" t="str">
        <f t="shared" si="22"/>
        <v>Normal</v>
      </c>
      <c r="U252" t="str">
        <f t="shared" si="23"/>
        <v>2025-02</v>
      </c>
    </row>
    <row r="253" spans="1:21" x14ac:dyDescent="0.35">
      <c r="A253" t="s">
        <v>265</v>
      </c>
      <c r="B253" t="s">
        <v>760</v>
      </c>
      <c r="C253" t="s">
        <v>1254</v>
      </c>
      <c r="D253" t="s">
        <v>1506</v>
      </c>
      <c r="E253" s="9" t="s">
        <v>1507</v>
      </c>
      <c r="F253" s="9" t="s">
        <v>1512</v>
      </c>
      <c r="G253" s="7">
        <v>45639</v>
      </c>
      <c r="H253" s="5">
        <v>177</v>
      </c>
      <c r="I253" s="3">
        <v>0</v>
      </c>
      <c r="J253" t="s">
        <v>1516</v>
      </c>
      <c r="K253" t="s">
        <v>1521</v>
      </c>
      <c r="L253" t="s">
        <v>1525</v>
      </c>
      <c r="M253">
        <v>25</v>
      </c>
      <c r="N253" t="s">
        <v>1527</v>
      </c>
      <c r="O253">
        <f t="shared" si="18"/>
        <v>2024</v>
      </c>
      <c r="P253">
        <f t="shared" si="19"/>
        <v>12</v>
      </c>
      <c r="Q253" s="3">
        <f t="shared" si="20"/>
        <v>5.5662248995983932</v>
      </c>
      <c r="R253">
        <f t="shared" si="21"/>
        <v>1</v>
      </c>
      <c r="S253" t="str">
        <f t="shared" si="22"/>
        <v>Suspicious</v>
      </c>
      <c r="U253" t="str">
        <f t="shared" si="23"/>
        <v>2024-12</v>
      </c>
    </row>
    <row r="254" spans="1:21" x14ac:dyDescent="0.35">
      <c r="A254" t="s">
        <v>266</v>
      </c>
      <c r="B254" t="s">
        <v>761</v>
      </c>
      <c r="C254" t="s">
        <v>1255</v>
      </c>
      <c r="D254" t="s">
        <v>1506</v>
      </c>
      <c r="E254" s="9" t="s">
        <v>1508</v>
      </c>
      <c r="F254" s="9" t="s">
        <v>1515</v>
      </c>
      <c r="G254" s="7">
        <v>45639</v>
      </c>
      <c r="H254" s="5">
        <v>133</v>
      </c>
      <c r="I254" s="3">
        <v>8.0500000000000007</v>
      </c>
      <c r="J254" t="s">
        <v>1520</v>
      </c>
      <c r="K254" t="s">
        <v>1521</v>
      </c>
      <c r="L254" t="s">
        <v>1526</v>
      </c>
      <c r="M254">
        <v>35</v>
      </c>
      <c r="N254" t="s">
        <v>1528</v>
      </c>
      <c r="O254">
        <f t="shared" si="18"/>
        <v>2024</v>
      </c>
      <c r="P254">
        <f t="shared" si="19"/>
        <v>12</v>
      </c>
      <c r="Q254" s="3">
        <f t="shared" si="20"/>
        <v>5.5886693548387099</v>
      </c>
      <c r="R254">
        <f t="shared" si="21"/>
        <v>1</v>
      </c>
      <c r="S254" t="str">
        <f t="shared" si="22"/>
        <v>Normal</v>
      </c>
      <c r="U254" t="str">
        <f t="shared" si="23"/>
        <v>2024-12</v>
      </c>
    </row>
    <row r="255" spans="1:21" x14ac:dyDescent="0.35">
      <c r="A255" t="s">
        <v>267</v>
      </c>
      <c r="B255" t="s">
        <v>762</v>
      </c>
      <c r="C255" t="s">
        <v>1256</v>
      </c>
      <c r="D255" t="s">
        <v>1505</v>
      </c>
      <c r="E255" s="9" t="s">
        <v>1509</v>
      </c>
      <c r="F255" s="9" t="s">
        <v>1514</v>
      </c>
      <c r="G255" s="7">
        <v>45764</v>
      </c>
      <c r="H255" s="5">
        <v>116</v>
      </c>
      <c r="I255" s="3">
        <v>0</v>
      </c>
      <c r="J255" t="s">
        <v>1516</v>
      </c>
      <c r="K255" t="s">
        <v>1521</v>
      </c>
      <c r="L255" t="s">
        <v>1525</v>
      </c>
      <c r="M255">
        <v>40</v>
      </c>
      <c r="N255" t="s">
        <v>1528</v>
      </c>
      <c r="O255">
        <f t="shared" si="18"/>
        <v>2025</v>
      </c>
      <c r="P255">
        <f t="shared" si="19"/>
        <v>4</v>
      </c>
      <c r="Q255" s="3">
        <f t="shared" si="20"/>
        <v>5.5787044534412962</v>
      </c>
      <c r="R255">
        <f t="shared" si="21"/>
        <v>1</v>
      </c>
      <c r="S255" t="str">
        <f t="shared" si="22"/>
        <v>Normal</v>
      </c>
      <c r="U255" t="str">
        <f t="shared" si="23"/>
        <v>2025-04</v>
      </c>
    </row>
    <row r="256" spans="1:21" x14ac:dyDescent="0.35">
      <c r="A256" t="s">
        <v>268</v>
      </c>
      <c r="B256" t="s">
        <v>763</v>
      </c>
      <c r="C256" t="s">
        <v>1257</v>
      </c>
      <c r="D256" t="s">
        <v>1506</v>
      </c>
      <c r="E256" s="9" t="s">
        <v>1509</v>
      </c>
      <c r="F256" s="9" t="s">
        <v>1515</v>
      </c>
      <c r="G256" s="7">
        <v>45646</v>
      </c>
      <c r="H256" s="5">
        <v>72</v>
      </c>
      <c r="I256" s="3">
        <v>0</v>
      </c>
      <c r="J256" t="s">
        <v>1516</v>
      </c>
      <c r="K256" t="s">
        <v>1521</v>
      </c>
      <c r="L256" t="s">
        <v>1525</v>
      </c>
      <c r="M256">
        <v>34</v>
      </c>
      <c r="N256" t="s">
        <v>1528</v>
      </c>
      <c r="O256">
        <f t="shared" si="18"/>
        <v>2024</v>
      </c>
      <c r="P256">
        <f t="shared" si="19"/>
        <v>12</v>
      </c>
      <c r="Q256" s="3">
        <f t="shared" si="20"/>
        <v>5.6013821138211384</v>
      </c>
      <c r="R256">
        <f t="shared" si="21"/>
        <v>1</v>
      </c>
      <c r="S256" t="str">
        <f t="shared" si="22"/>
        <v>Normal</v>
      </c>
      <c r="U256" t="str">
        <f t="shared" si="23"/>
        <v>2024-12</v>
      </c>
    </row>
    <row r="257" spans="1:21" x14ac:dyDescent="0.35">
      <c r="A257" t="s">
        <v>269</v>
      </c>
      <c r="B257" t="s">
        <v>764</v>
      </c>
      <c r="C257" t="s">
        <v>1258</v>
      </c>
      <c r="D257" t="s">
        <v>1506</v>
      </c>
      <c r="E257" s="9" t="s">
        <v>1507</v>
      </c>
      <c r="F257" s="9" t="s">
        <v>1515</v>
      </c>
      <c r="G257" s="7">
        <v>45758</v>
      </c>
      <c r="H257" s="5">
        <v>51</v>
      </c>
      <c r="I257" s="3">
        <v>0</v>
      </c>
      <c r="J257" t="s">
        <v>1516</v>
      </c>
      <c r="K257" t="s">
        <v>1521</v>
      </c>
      <c r="L257" t="s">
        <v>1525</v>
      </c>
      <c r="M257">
        <v>30</v>
      </c>
      <c r="N257" t="s">
        <v>1528</v>
      </c>
      <c r="O257">
        <f t="shared" si="18"/>
        <v>2025</v>
      </c>
      <c r="P257">
        <f t="shared" si="19"/>
        <v>4</v>
      </c>
      <c r="Q257" s="3">
        <f t="shared" si="20"/>
        <v>5.6242448979591835</v>
      </c>
      <c r="R257">
        <f t="shared" si="21"/>
        <v>1</v>
      </c>
      <c r="S257" t="str">
        <f t="shared" si="22"/>
        <v>Normal</v>
      </c>
      <c r="U257" t="str">
        <f t="shared" si="23"/>
        <v>2025-04</v>
      </c>
    </row>
    <row r="258" spans="1:21" x14ac:dyDescent="0.35">
      <c r="A258" t="s">
        <v>270</v>
      </c>
      <c r="B258" t="s">
        <v>765</v>
      </c>
      <c r="C258" t="s">
        <v>1259</v>
      </c>
      <c r="D258" t="s">
        <v>1505</v>
      </c>
      <c r="E258" s="9" t="s">
        <v>1508</v>
      </c>
      <c r="F258" s="9" t="s">
        <v>1512</v>
      </c>
      <c r="G258" s="7">
        <v>45681</v>
      </c>
      <c r="H258" s="5">
        <v>19</v>
      </c>
      <c r="I258" s="3">
        <v>0</v>
      </c>
      <c r="J258" t="s">
        <v>1516</v>
      </c>
      <c r="K258" t="s">
        <v>1521</v>
      </c>
      <c r="L258" t="s">
        <v>1525</v>
      </c>
      <c r="M258">
        <v>6</v>
      </c>
      <c r="N258" t="s">
        <v>1528</v>
      </c>
      <c r="O258">
        <f t="shared" si="18"/>
        <v>2025</v>
      </c>
      <c r="P258">
        <f t="shared" si="19"/>
        <v>1</v>
      </c>
      <c r="Q258" s="3">
        <f t="shared" si="20"/>
        <v>5.6472950819672132</v>
      </c>
      <c r="R258">
        <f t="shared" si="21"/>
        <v>1</v>
      </c>
      <c r="S258" t="str">
        <f t="shared" si="22"/>
        <v>Normal</v>
      </c>
      <c r="U258" t="str">
        <f t="shared" si="23"/>
        <v>2025-01</v>
      </c>
    </row>
    <row r="259" spans="1:21" x14ac:dyDescent="0.35">
      <c r="A259" t="s">
        <v>271</v>
      </c>
      <c r="B259" t="s">
        <v>766</v>
      </c>
      <c r="C259" t="s">
        <v>1260</v>
      </c>
      <c r="D259" t="s">
        <v>1503</v>
      </c>
      <c r="E259" s="9" t="s">
        <v>1508</v>
      </c>
      <c r="F259" s="9" t="s">
        <v>1514</v>
      </c>
      <c r="G259" s="7">
        <v>45684</v>
      </c>
      <c r="H259" s="5">
        <v>142</v>
      </c>
      <c r="I259" s="3">
        <v>8.64</v>
      </c>
      <c r="J259" t="s">
        <v>1517</v>
      </c>
      <c r="K259" t="s">
        <v>1522</v>
      </c>
      <c r="L259" t="s">
        <v>1526</v>
      </c>
      <c r="M259">
        <v>25</v>
      </c>
      <c r="N259" t="s">
        <v>1528</v>
      </c>
      <c r="O259">
        <f t="shared" ref="O259:O322" si="24">YEAR(G259)</f>
        <v>2025</v>
      </c>
      <c r="P259">
        <f t="shared" ref="P259:P322" si="25">MONTH(G259)</f>
        <v>1</v>
      </c>
      <c r="Q259" s="3">
        <f t="shared" ref="Q259:Q322" si="26">SUM(I259:I758)/COUNTA(B259:B758)</f>
        <v>5.6705349794238682</v>
      </c>
      <c r="R259">
        <f t="shared" ref="R259:R322" si="27">IF(K259="Completed",1,0)</f>
        <v>0</v>
      </c>
      <c r="S259" t="str">
        <f t="shared" ref="S259:S322" si="28">IF((H259&gt;$T$2),"Suspicious","Normal")</f>
        <v>Normal</v>
      </c>
      <c r="U259" t="str">
        <f t="shared" ref="U259:U322" si="29">TEXT(G259,"yyyy-mm")</f>
        <v>2025-01</v>
      </c>
    </row>
    <row r="260" spans="1:21" x14ac:dyDescent="0.35">
      <c r="A260" t="s">
        <v>272</v>
      </c>
      <c r="B260" t="s">
        <v>767</v>
      </c>
      <c r="C260" t="s">
        <v>1261</v>
      </c>
      <c r="D260" t="s">
        <v>1506</v>
      </c>
      <c r="E260" s="9" t="s">
        <v>1509</v>
      </c>
      <c r="F260" s="9" t="s">
        <v>1512</v>
      </c>
      <c r="G260" s="7">
        <v>45753</v>
      </c>
      <c r="H260" s="5">
        <v>31</v>
      </c>
      <c r="I260" s="3">
        <v>0</v>
      </c>
      <c r="J260" t="s">
        <v>1516</v>
      </c>
      <c r="K260" t="s">
        <v>1521</v>
      </c>
      <c r="L260" t="s">
        <v>1525</v>
      </c>
      <c r="M260">
        <v>49</v>
      </c>
      <c r="N260" t="s">
        <v>1528</v>
      </c>
      <c r="O260">
        <f t="shared" si="24"/>
        <v>2025</v>
      </c>
      <c r="P260">
        <f t="shared" si="25"/>
        <v>4</v>
      </c>
      <c r="Q260" s="3">
        <f t="shared" si="26"/>
        <v>5.6582644628099183</v>
      </c>
      <c r="R260">
        <f t="shared" si="27"/>
        <v>1</v>
      </c>
      <c r="S260" t="str">
        <f t="shared" si="28"/>
        <v>Normal</v>
      </c>
      <c r="U260" t="str">
        <f t="shared" si="29"/>
        <v>2025-04</v>
      </c>
    </row>
    <row r="261" spans="1:21" x14ac:dyDescent="0.35">
      <c r="A261" t="s">
        <v>273</v>
      </c>
      <c r="B261" t="s">
        <v>644</v>
      </c>
      <c r="C261" t="s">
        <v>1262</v>
      </c>
      <c r="D261" t="s">
        <v>1503</v>
      </c>
      <c r="E261" s="9" t="s">
        <v>1507</v>
      </c>
      <c r="F261" s="9" t="s">
        <v>1511</v>
      </c>
      <c r="G261" s="7">
        <v>45721</v>
      </c>
      <c r="H261" s="5">
        <v>26</v>
      </c>
      <c r="I261" s="3">
        <v>0</v>
      </c>
      <c r="J261" t="s">
        <v>1516</v>
      </c>
      <c r="K261" t="s">
        <v>1521</v>
      </c>
      <c r="L261" t="s">
        <v>1526</v>
      </c>
      <c r="M261">
        <v>5</v>
      </c>
      <c r="N261" t="s">
        <v>1528</v>
      </c>
      <c r="O261">
        <f t="shared" si="24"/>
        <v>2025</v>
      </c>
      <c r="P261">
        <f t="shared" si="25"/>
        <v>3</v>
      </c>
      <c r="Q261" s="3">
        <f t="shared" si="26"/>
        <v>5.6817427385892127</v>
      </c>
      <c r="R261">
        <f t="shared" si="27"/>
        <v>1</v>
      </c>
      <c r="S261" t="str">
        <f t="shared" si="28"/>
        <v>Normal</v>
      </c>
      <c r="U261" t="str">
        <f t="shared" si="29"/>
        <v>2025-03</v>
      </c>
    </row>
    <row r="262" spans="1:21" x14ac:dyDescent="0.35">
      <c r="A262" t="s">
        <v>274</v>
      </c>
      <c r="B262" t="s">
        <v>768</v>
      </c>
      <c r="C262" t="s">
        <v>1263</v>
      </c>
      <c r="D262" t="s">
        <v>1503</v>
      </c>
      <c r="E262" s="9" t="s">
        <v>1507</v>
      </c>
      <c r="F262" s="9" t="s">
        <v>1510</v>
      </c>
      <c r="G262" s="7">
        <v>45815</v>
      </c>
      <c r="H262" s="5">
        <v>144</v>
      </c>
      <c r="I262" s="3">
        <v>40.29</v>
      </c>
      <c r="J262" t="s">
        <v>1518</v>
      </c>
      <c r="K262" t="s">
        <v>1523</v>
      </c>
      <c r="L262" t="s">
        <v>1526</v>
      </c>
      <c r="M262">
        <v>1</v>
      </c>
      <c r="N262" t="s">
        <v>1527</v>
      </c>
      <c r="O262">
        <f t="shared" si="24"/>
        <v>2025</v>
      </c>
      <c r="P262">
        <f t="shared" si="25"/>
        <v>6</v>
      </c>
      <c r="Q262" s="3">
        <f t="shared" si="26"/>
        <v>5.7054166666666672</v>
      </c>
      <c r="R262">
        <f t="shared" si="27"/>
        <v>0</v>
      </c>
      <c r="S262" t="str">
        <f t="shared" si="28"/>
        <v>Normal</v>
      </c>
      <c r="U262" t="str">
        <f t="shared" si="29"/>
        <v>2025-06</v>
      </c>
    </row>
    <row r="263" spans="1:21" x14ac:dyDescent="0.35">
      <c r="A263" t="s">
        <v>275</v>
      </c>
      <c r="B263" t="s">
        <v>769</v>
      </c>
      <c r="C263" t="s">
        <v>1264</v>
      </c>
      <c r="D263" t="s">
        <v>1506</v>
      </c>
      <c r="E263" s="9" t="s">
        <v>1509</v>
      </c>
      <c r="F263" s="9" t="s">
        <v>1512</v>
      </c>
      <c r="G263" s="7">
        <v>45758</v>
      </c>
      <c r="H263" s="5">
        <v>6</v>
      </c>
      <c r="I263" s="3">
        <v>0</v>
      </c>
      <c r="J263" t="s">
        <v>1516</v>
      </c>
      <c r="K263" t="s">
        <v>1521</v>
      </c>
      <c r="L263" t="s">
        <v>1525</v>
      </c>
      <c r="M263">
        <v>7</v>
      </c>
      <c r="N263" t="s">
        <v>1528</v>
      </c>
      <c r="O263">
        <f t="shared" si="24"/>
        <v>2025</v>
      </c>
      <c r="P263">
        <f t="shared" si="25"/>
        <v>4</v>
      </c>
      <c r="Q263" s="3">
        <f t="shared" si="26"/>
        <v>5.5607112970711308</v>
      </c>
      <c r="R263">
        <f t="shared" si="27"/>
        <v>1</v>
      </c>
      <c r="S263" t="str">
        <f t="shared" si="28"/>
        <v>Normal</v>
      </c>
      <c r="U263" t="str">
        <f t="shared" si="29"/>
        <v>2025-04</v>
      </c>
    </row>
    <row r="264" spans="1:21" x14ac:dyDescent="0.35">
      <c r="A264" t="s">
        <v>276</v>
      </c>
      <c r="B264" t="s">
        <v>620</v>
      </c>
      <c r="C264" t="s">
        <v>1265</v>
      </c>
      <c r="D264" t="s">
        <v>1503</v>
      </c>
      <c r="E264" s="9" t="s">
        <v>1507</v>
      </c>
      <c r="F264" s="9" t="s">
        <v>1512</v>
      </c>
      <c r="G264" s="7">
        <v>45804</v>
      </c>
      <c r="H264" s="5">
        <v>176</v>
      </c>
      <c r="I264" s="3">
        <v>44.39</v>
      </c>
      <c r="J264" t="s">
        <v>1519</v>
      </c>
      <c r="K264" t="s">
        <v>1521</v>
      </c>
      <c r="L264" t="s">
        <v>1526</v>
      </c>
      <c r="M264">
        <v>18</v>
      </c>
      <c r="N264" t="s">
        <v>1527</v>
      </c>
      <c r="O264">
        <f t="shared" si="24"/>
        <v>2025</v>
      </c>
      <c r="P264">
        <f t="shared" si="25"/>
        <v>5</v>
      </c>
      <c r="Q264" s="3">
        <f t="shared" si="26"/>
        <v>5.5840756302521015</v>
      </c>
      <c r="R264">
        <f t="shared" si="27"/>
        <v>1</v>
      </c>
      <c r="S264" t="str">
        <f t="shared" si="28"/>
        <v>Suspicious</v>
      </c>
      <c r="U264" t="str">
        <f t="shared" si="29"/>
        <v>2025-05</v>
      </c>
    </row>
    <row r="265" spans="1:21" x14ac:dyDescent="0.35">
      <c r="A265" t="s">
        <v>277</v>
      </c>
      <c r="B265" t="s">
        <v>770</v>
      </c>
      <c r="C265" t="s">
        <v>1266</v>
      </c>
      <c r="D265" t="s">
        <v>1502</v>
      </c>
      <c r="E265" s="9" t="s">
        <v>1509</v>
      </c>
      <c r="F265" s="9" t="s">
        <v>1510</v>
      </c>
      <c r="G265" s="7">
        <v>45650</v>
      </c>
      <c r="H265" s="5">
        <v>175</v>
      </c>
      <c r="I265" s="3">
        <v>0</v>
      </c>
      <c r="J265" t="s">
        <v>1516</v>
      </c>
      <c r="K265" t="s">
        <v>1524</v>
      </c>
      <c r="L265" t="s">
        <v>1525</v>
      </c>
      <c r="M265">
        <v>22</v>
      </c>
      <c r="N265" t="s">
        <v>1527</v>
      </c>
      <c r="O265">
        <f t="shared" si="24"/>
        <v>2024</v>
      </c>
      <c r="P265">
        <f t="shared" si="25"/>
        <v>12</v>
      </c>
      <c r="Q265" s="3">
        <f t="shared" si="26"/>
        <v>5.420337552742617</v>
      </c>
      <c r="R265">
        <f t="shared" si="27"/>
        <v>0</v>
      </c>
      <c r="S265" t="str">
        <f t="shared" si="28"/>
        <v>Suspicious</v>
      </c>
      <c r="U265" t="str">
        <f t="shared" si="29"/>
        <v>2024-12</v>
      </c>
    </row>
    <row r="266" spans="1:21" x14ac:dyDescent="0.35">
      <c r="A266" t="s">
        <v>278</v>
      </c>
      <c r="B266" t="s">
        <v>771</v>
      </c>
      <c r="C266" t="s">
        <v>1267</v>
      </c>
      <c r="D266" t="s">
        <v>1504</v>
      </c>
      <c r="E266" s="9" t="s">
        <v>1508</v>
      </c>
      <c r="F266" s="9" t="s">
        <v>1514</v>
      </c>
      <c r="G266" s="7">
        <v>45680</v>
      </c>
      <c r="H266" s="5">
        <v>131</v>
      </c>
      <c r="I266" s="3">
        <v>0</v>
      </c>
      <c r="J266" t="s">
        <v>1516</v>
      </c>
      <c r="K266" t="s">
        <v>1522</v>
      </c>
      <c r="L266" t="s">
        <v>1525</v>
      </c>
      <c r="M266">
        <v>3</v>
      </c>
      <c r="N266" t="s">
        <v>1528</v>
      </c>
      <c r="O266">
        <f t="shared" si="24"/>
        <v>2025</v>
      </c>
      <c r="P266">
        <f t="shared" si="25"/>
        <v>1</v>
      </c>
      <c r="Q266" s="3">
        <f t="shared" si="26"/>
        <v>5.4433050847457629</v>
      </c>
      <c r="R266">
        <f t="shared" si="27"/>
        <v>0</v>
      </c>
      <c r="S266" t="str">
        <f t="shared" si="28"/>
        <v>Normal</v>
      </c>
      <c r="U266" t="str">
        <f t="shared" si="29"/>
        <v>2025-01</v>
      </c>
    </row>
    <row r="267" spans="1:21" x14ac:dyDescent="0.35">
      <c r="A267" t="s">
        <v>279</v>
      </c>
      <c r="B267" t="s">
        <v>772</v>
      </c>
      <c r="C267" t="s">
        <v>1268</v>
      </c>
      <c r="D267" t="s">
        <v>1505</v>
      </c>
      <c r="E267" s="9" t="s">
        <v>1508</v>
      </c>
      <c r="F267" s="9" t="s">
        <v>1515</v>
      </c>
      <c r="G267" s="7">
        <v>45768</v>
      </c>
      <c r="H267" s="5">
        <v>17</v>
      </c>
      <c r="I267" s="3">
        <v>0</v>
      </c>
      <c r="J267" t="s">
        <v>1516</v>
      </c>
      <c r="K267" t="s">
        <v>1521</v>
      </c>
      <c r="L267" t="s">
        <v>1526</v>
      </c>
      <c r="M267">
        <v>37</v>
      </c>
      <c r="N267" t="s">
        <v>1528</v>
      </c>
      <c r="O267">
        <f t="shared" si="24"/>
        <v>2025</v>
      </c>
      <c r="P267">
        <f t="shared" si="25"/>
        <v>4</v>
      </c>
      <c r="Q267" s="3">
        <f t="shared" si="26"/>
        <v>5.4664680851063832</v>
      </c>
      <c r="R267">
        <f t="shared" si="27"/>
        <v>1</v>
      </c>
      <c r="S267" t="str">
        <f t="shared" si="28"/>
        <v>Normal</v>
      </c>
      <c r="U267" t="str">
        <f t="shared" si="29"/>
        <v>2025-04</v>
      </c>
    </row>
    <row r="268" spans="1:21" x14ac:dyDescent="0.35">
      <c r="A268" t="s">
        <v>280</v>
      </c>
      <c r="B268" t="s">
        <v>773</v>
      </c>
      <c r="C268" t="s">
        <v>1269</v>
      </c>
      <c r="D268" t="s">
        <v>1506</v>
      </c>
      <c r="E268" s="9" t="s">
        <v>1508</v>
      </c>
      <c r="F268" s="9" t="s">
        <v>1510</v>
      </c>
      <c r="G268" s="7">
        <v>45810</v>
      </c>
      <c r="H268" s="5">
        <v>128</v>
      </c>
      <c r="I268" s="3">
        <v>0</v>
      </c>
      <c r="J268" t="s">
        <v>1516</v>
      </c>
      <c r="K268" t="s">
        <v>1521</v>
      </c>
      <c r="L268" t="s">
        <v>1525</v>
      </c>
      <c r="M268">
        <v>15</v>
      </c>
      <c r="N268" t="s">
        <v>1528</v>
      </c>
      <c r="O268">
        <f t="shared" si="24"/>
        <v>2025</v>
      </c>
      <c r="P268">
        <f t="shared" si="25"/>
        <v>6</v>
      </c>
      <c r="Q268" s="3">
        <f t="shared" si="26"/>
        <v>5.4898290598290602</v>
      </c>
      <c r="R268">
        <f t="shared" si="27"/>
        <v>1</v>
      </c>
      <c r="S268" t="str">
        <f t="shared" si="28"/>
        <v>Normal</v>
      </c>
      <c r="U268" t="str">
        <f t="shared" si="29"/>
        <v>2025-06</v>
      </c>
    </row>
    <row r="269" spans="1:21" x14ac:dyDescent="0.35">
      <c r="A269" t="s">
        <v>281</v>
      </c>
      <c r="B269" t="s">
        <v>774</v>
      </c>
      <c r="C269" t="s">
        <v>1270</v>
      </c>
      <c r="D269" t="s">
        <v>1506</v>
      </c>
      <c r="E269" s="9" t="s">
        <v>1509</v>
      </c>
      <c r="F269" s="9" t="s">
        <v>1512</v>
      </c>
      <c r="G269" s="7">
        <v>45780</v>
      </c>
      <c r="H269" s="5">
        <v>39</v>
      </c>
      <c r="I269" s="3">
        <v>0</v>
      </c>
      <c r="J269" t="s">
        <v>1516</v>
      </c>
      <c r="K269" t="s">
        <v>1521</v>
      </c>
      <c r="L269" t="s">
        <v>1525</v>
      </c>
      <c r="M269">
        <v>18</v>
      </c>
      <c r="N269" t="s">
        <v>1528</v>
      </c>
      <c r="O269">
        <f t="shared" si="24"/>
        <v>2025</v>
      </c>
      <c r="P269">
        <f t="shared" si="25"/>
        <v>5</v>
      </c>
      <c r="Q269" s="3">
        <f t="shared" si="26"/>
        <v>5.5133905579399149</v>
      </c>
      <c r="R269">
        <f t="shared" si="27"/>
        <v>1</v>
      </c>
      <c r="S269" t="str">
        <f t="shared" si="28"/>
        <v>Normal</v>
      </c>
      <c r="U269" t="str">
        <f t="shared" si="29"/>
        <v>2025-05</v>
      </c>
    </row>
    <row r="270" spans="1:21" x14ac:dyDescent="0.35">
      <c r="A270" t="s">
        <v>282</v>
      </c>
      <c r="B270" t="s">
        <v>775</v>
      </c>
      <c r="C270" t="s">
        <v>1271</v>
      </c>
      <c r="D270" t="s">
        <v>1503</v>
      </c>
      <c r="E270" s="9" t="s">
        <v>1508</v>
      </c>
      <c r="F270" s="9" t="s">
        <v>1510</v>
      </c>
      <c r="G270" s="7">
        <v>45794</v>
      </c>
      <c r="H270" s="5">
        <v>122</v>
      </c>
      <c r="I270" s="3">
        <v>0</v>
      </c>
      <c r="J270" t="s">
        <v>1516</v>
      </c>
      <c r="K270" t="s">
        <v>1521</v>
      </c>
      <c r="L270" t="s">
        <v>1525</v>
      </c>
      <c r="M270">
        <v>28</v>
      </c>
      <c r="N270" t="s">
        <v>1528</v>
      </c>
      <c r="O270">
        <f t="shared" si="24"/>
        <v>2025</v>
      </c>
      <c r="P270">
        <f t="shared" si="25"/>
        <v>5</v>
      </c>
      <c r="Q270" s="3">
        <f t="shared" si="26"/>
        <v>5.5371551724137937</v>
      </c>
      <c r="R270">
        <f t="shared" si="27"/>
        <v>1</v>
      </c>
      <c r="S270" t="str">
        <f t="shared" si="28"/>
        <v>Normal</v>
      </c>
      <c r="U270" t="str">
        <f t="shared" si="29"/>
        <v>2025-05</v>
      </c>
    </row>
    <row r="271" spans="1:21" x14ac:dyDescent="0.35">
      <c r="A271" t="s">
        <v>283</v>
      </c>
      <c r="B271" t="s">
        <v>776</v>
      </c>
      <c r="C271" t="s">
        <v>1272</v>
      </c>
      <c r="D271" t="s">
        <v>1505</v>
      </c>
      <c r="E271" s="9" t="s">
        <v>1509</v>
      </c>
      <c r="F271" s="9" t="s">
        <v>1515</v>
      </c>
      <c r="G271" s="7">
        <v>45673</v>
      </c>
      <c r="H271" s="5">
        <v>15</v>
      </c>
      <c r="I271" s="3">
        <v>0</v>
      </c>
      <c r="J271" t="s">
        <v>1516</v>
      </c>
      <c r="K271" t="s">
        <v>1521</v>
      </c>
      <c r="L271" t="s">
        <v>1526</v>
      </c>
      <c r="M271">
        <v>47</v>
      </c>
      <c r="N271" t="s">
        <v>1528</v>
      </c>
      <c r="O271">
        <f t="shared" si="24"/>
        <v>2025</v>
      </c>
      <c r="P271">
        <f t="shared" si="25"/>
        <v>1</v>
      </c>
      <c r="Q271" s="3">
        <f t="shared" si="26"/>
        <v>5.5611255411255414</v>
      </c>
      <c r="R271">
        <f t="shared" si="27"/>
        <v>1</v>
      </c>
      <c r="S271" t="str">
        <f t="shared" si="28"/>
        <v>Normal</v>
      </c>
      <c r="U271" t="str">
        <f t="shared" si="29"/>
        <v>2025-01</v>
      </c>
    </row>
    <row r="272" spans="1:21" x14ac:dyDescent="0.35">
      <c r="A272" t="s">
        <v>284</v>
      </c>
      <c r="B272" t="s">
        <v>777</v>
      </c>
      <c r="C272" t="s">
        <v>1273</v>
      </c>
      <c r="D272" t="s">
        <v>1503</v>
      </c>
      <c r="E272" s="9" t="s">
        <v>1507</v>
      </c>
      <c r="F272" s="9" t="s">
        <v>1512</v>
      </c>
      <c r="G272" s="7">
        <v>45758</v>
      </c>
      <c r="H272" s="5">
        <v>166</v>
      </c>
      <c r="I272" s="3">
        <v>47.72</v>
      </c>
      <c r="J272" t="s">
        <v>1520</v>
      </c>
      <c r="K272" t="s">
        <v>1521</v>
      </c>
      <c r="L272" t="s">
        <v>1526</v>
      </c>
      <c r="M272">
        <v>40</v>
      </c>
      <c r="N272" t="s">
        <v>1527</v>
      </c>
      <c r="O272">
        <f t="shared" si="24"/>
        <v>2025</v>
      </c>
      <c r="P272">
        <f t="shared" si="25"/>
        <v>4</v>
      </c>
      <c r="Q272" s="3">
        <f t="shared" si="26"/>
        <v>5.5853043478260878</v>
      </c>
      <c r="R272">
        <f t="shared" si="27"/>
        <v>1</v>
      </c>
      <c r="S272" t="str">
        <f t="shared" si="28"/>
        <v>Normal</v>
      </c>
      <c r="U272" t="str">
        <f t="shared" si="29"/>
        <v>2025-04</v>
      </c>
    </row>
    <row r="273" spans="1:21" x14ac:dyDescent="0.35">
      <c r="A273" t="s">
        <v>285</v>
      </c>
      <c r="B273" t="s">
        <v>778</v>
      </c>
      <c r="C273" t="s">
        <v>1274</v>
      </c>
      <c r="D273" t="s">
        <v>1504</v>
      </c>
      <c r="E273" s="9" t="s">
        <v>1509</v>
      </c>
      <c r="F273" s="9" t="s">
        <v>1512</v>
      </c>
      <c r="G273" s="7">
        <v>45721</v>
      </c>
      <c r="H273" s="5">
        <v>91</v>
      </c>
      <c r="I273" s="3">
        <v>45.51</v>
      </c>
      <c r="J273" t="s">
        <v>1520</v>
      </c>
      <c r="K273" t="s">
        <v>1521</v>
      </c>
      <c r="L273" t="s">
        <v>1526</v>
      </c>
      <c r="M273">
        <v>8</v>
      </c>
      <c r="N273" t="s">
        <v>1527</v>
      </c>
      <c r="O273">
        <f t="shared" si="24"/>
        <v>2025</v>
      </c>
      <c r="P273">
        <f t="shared" si="25"/>
        <v>3</v>
      </c>
      <c r="Q273" s="3">
        <f t="shared" si="26"/>
        <v>5.4013100436681221</v>
      </c>
      <c r="R273">
        <f t="shared" si="27"/>
        <v>1</v>
      </c>
      <c r="S273" t="str">
        <f t="shared" si="28"/>
        <v>Normal</v>
      </c>
      <c r="U273" t="str">
        <f t="shared" si="29"/>
        <v>2025-03</v>
      </c>
    </row>
    <row r="274" spans="1:21" x14ac:dyDescent="0.35">
      <c r="A274" t="s">
        <v>286</v>
      </c>
      <c r="B274" t="s">
        <v>779</v>
      </c>
      <c r="C274" t="s">
        <v>1275</v>
      </c>
      <c r="D274" t="s">
        <v>1502</v>
      </c>
      <c r="E274" s="9" t="s">
        <v>1509</v>
      </c>
      <c r="F274" s="9" t="s">
        <v>1512</v>
      </c>
      <c r="G274" s="7">
        <v>45770</v>
      </c>
      <c r="H274" s="5">
        <v>52</v>
      </c>
      <c r="I274" s="3">
        <v>0</v>
      </c>
      <c r="J274" t="s">
        <v>1516</v>
      </c>
      <c r="K274" t="s">
        <v>1521</v>
      </c>
      <c r="L274" t="s">
        <v>1525</v>
      </c>
      <c r="M274">
        <v>3</v>
      </c>
      <c r="N274" t="s">
        <v>1528</v>
      </c>
      <c r="O274">
        <f t="shared" si="24"/>
        <v>2025</v>
      </c>
      <c r="P274">
        <f t="shared" si="25"/>
        <v>4</v>
      </c>
      <c r="Q274" s="3">
        <f t="shared" si="26"/>
        <v>5.2253947368421043</v>
      </c>
      <c r="R274">
        <f t="shared" si="27"/>
        <v>1</v>
      </c>
      <c r="S274" t="str">
        <f t="shared" si="28"/>
        <v>Normal</v>
      </c>
      <c r="U274" t="str">
        <f t="shared" si="29"/>
        <v>2025-04</v>
      </c>
    </row>
    <row r="275" spans="1:21" x14ac:dyDescent="0.35">
      <c r="A275" t="s">
        <v>287</v>
      </c>
      <c r="B275" t="s">
        <v>780</v>
      </c>
      <c r="C275" t="s">
        <v>1276</v>
      </c>
      <c r="D275" t="s">
        <v>1506</v>
      </c>
      <c r="E275" s="9" t="s">
        <v>1509</v>
      </c>
      <c r="F275" s="9" t="s">
        <v>1512</v>
      </c>
      <c r="G275" s="7">
        <v>45670</v>
      </c>
      <c r="H275" s="5">
        <v>130</v>
      </c>
      <c r="I275" s="3">
        <v>0</v>
      </c>
      <c r="J275" t="s">
        <v>1516</v>
      </c>
      <c r="K275" t="s">
        <v>1521</v>
      </c>
      <c r="L275" t="s">
        <v>1525</v>
      </c>
      <c r="M275">
        <v>49</v>
      </c>
      <c r="N275" t="s">
        <v>1528</v>
      </c>
      <c r="O275">
        <f t="shared" si="24"/>
        <v>2025</v>
      </c>
      <c r="P275">
        <f t="shared" si="25"/>
        <v>1</v>
      </c>
      <c r="Q275" s="3">
        <f t="shared" si="26"/>
        <v>5.2484140969162993</v>
      </c>
      <c r="R275">
        <f t="shared" si="27"/>
        <v>1</v>
      </c>
      <c r="S275" t="str">
        <f t="shared" si="28"/>
        <v>Normal</v>
      </c>
      <c r="U275" t="str">
        <f t="shared" si="29"/>
        <v>2025-01</v>
      </c>
    </row>
    <row r="276" spans="1:21" x14ac:dyDescent="0.35">
      <c r="A276" t="s">
        <v>288</v>
      </c>
      <c r="B276" t="s">
        <v>781</v>
      </c>
      <c r="C276" t="s">
        <v>1277</v>
      </c>
      <c r="D276" t="s">
        <v>1506</v>
      </c>
      <c r="E276" s="9" t="s">
        <v>1508</v>
      </c>
      <c r="F276" s="9" t="s">
        <v>1511</v>
      </c>
      <c r="G276" s="7">
        <v>45750</v>
      </c>
      <c r="H276" s="5">
        <v>87</v>
      </c>
      <c r="I276" s="3">
        <v>0</v>
      </c>
      <c r="J276" t="s">
        <v>1516</v>
      </c>
      <c r="K276" t="s">
        <v>1521</v>
      </c>
      <c r="L276" t="s">
        <v>1525</v>
      </c>
      <c r="M276">
        <v>33</v>
      </c>
      <c r="N276" t="s">
        <v>1528</v>
      </c>
      <c r="O276">
        <f t="shared" si="24"/>
        <v>2025</v>
      </c>
      <c r="P276">
        <f t="shared" si="25"/>
        <v>4</v>
      </c>
      <c r="Q276" s="3">
        <f t="shared" si="26"/>
        <v>5.2716371681415923</v>
      </c>
      <c r="R276">
        <f t="shared" si="27"/>
        <v>1</v>
      </c>
      <c r="S276" t="str">
        <f t="shared" si="28"/>
        <v>Normal</v>
      </c>
      <c r="U276" t="str">
        <f t="shared" si="29"/>
        <v>2025-04</v>
      </c>
    </row>
    <row r="277" spans="1:21" x14ac:dyDescent="0.35">
      <c r="A277" t="s">
        <v>289</v>
      </c>
      <c r="B277" t="s">
        <v>782</v>
      </c>
      <c r="C277" t="s">
        <v>1278</v>
      </c>
      <c r="D277" t="s">
        <v>1503</v>
      </c>
      <c r="E277" s="9" t="s">
        <v>1509</v>
      </c>
      <c r="F277" s="9" t="s">
        <v>1512</v>
      </c>
      <c r="G277" s="7">
        <v>45738</v>
      </c>
      <c r="H277" s="5">
        <v>71</v>
      </c>
      <c r="I277" s="3">
        <v>0</v>
      </c>
      <c r="J277" t="s">
        <v>1516</v>
      </c>
      <c r="K277" t="s">
        <v>1521</v>
      </c>
      <c r="L277" t="s">
        <v>1525</v>
      </c>
      <c r="M277">
        <v>38</v>
      </c>
      <c r="N277" t="s">
        <v>1528</v>
      </c>
      <c r="O277">
        <f t="shared" si="24"/>
        <v>2025</v>
      </c>
      <c r="P277">
        <f t="shared" si="25"/>
        <v>3</v>
      </c>
      <c r="Q277" s="3">
        <f t="shared" si="26"/>
        <v>5.2950666666666661</v>
      </c>
      <c r="R277">
        <f t="shared" si="27"/>
        <v>1</v>
      </c>
      <c r="S277" t="str">
        <f t="shared" si="28"/>
        <v>Normal</v>
      </c>
      <c r="U277" t="str">
        <f t="shared" si="29"/>
        <v>2025-03</v>
      </c>
    </row>
    <row r="278" spans="1:21" x14ac:dyDescent="0.35">
      <c r="A278" t="s">
        <v>290</v>
      </c>
      <c r="B278" t="s">
        <v>783</v>
      </c>
      <c r="C278" t="s">
        <v>1279</v>
      </c>
      <c r="D278" t="s">
        <v>1503</v>
      </c>
      <c r="E278" s="9" t="s">
        <v>1508</v>
      </c>
      <c r="F278" s="9" t="s">
        <v>1512</v>
      </c>
      <c r="G278" s="7">
        <v>45735</v>
      </c>
      <c r="H278" s="5">
        <v>63</v>
      </c>
      <c r="I278" s="3">
        <v>0</v>
      </c>
      <c r="J278" t="s">
        <v>1516</v>
      </c>
      <c r="K278" t="s">
        <v>1521</v>
      </c>
      <c r="L278" t="s">
        <v>1525</v>
      </c>
      <c r="M278">
        <v>49</v>
      </c>
      <c r="N278" t="s">
        <v>1528</v>
      </c>
      <c r="O278">
        <f t="shared" si="24"/>
        <v>2025</v>
      </c>
      <c r="P278">
        <f t="shared" si="25"/>
        <v>3</v>
      </c>
      <c r="Q278" s="3">
        <f t="shared" si="26"/>
        <v>5.3187053571428562</v>
      </c>
      <c r="R278">
        <f t="shared" si="27"/>
        <v>1</v>
      </c>
      <c r="S278" t="str">
        <f t="shared" si="28"/>
        <v>Normal</v>
      </c>
      <c r="U278" t="str">
        <f t="shared" si="29"/>
        <v>2025-03</v>
      </c>
    </row>
    <row r="279" spans="1:21" x14ac:dyDescent="0.35">
      <c r="A279" t="s">
        <v>291</v>
      </c>
      <c r="B279" t="s">
        <v>784</v>
      </c>
      <c r="C279" t="s">
        <v>1280</v>
      </c>
      <c r="D279" t="s">
        <v>1503</v>
      </c>
      <c r="E279" s="9" t="s">
        <v>1507</v>
      </c>
      <c r="F279" s="9" t="s">
        <v>1512</v>
      </c>
      <c r="G279" s="7">
        <v>45744</v>
      </c>
      <c r="H279" s="5">
        <v>175</v>
      </c>
      <c r="I279" s="3">
        <v>0</v>
      </c>
      <c r="J279" t="s">
        <v>1516</v>
      </c>
      <c r="K279" t="s">
        <v>1522</v>
      </c>
      <c r="L279" t="s">
        <v>1525</v>
      </c>
      <c r="M279">
        <v>33</v>
      </c>
      <c r="N279" t="s">
        <v>1527</v>
      </c>
      <c r="O279">
        <f t="shared" si="24"/>
        <v>2025</v>
      </c>
      <c r="P279">
        <f t="shared" si="25"/>
        <v>3</v>
      </c>
      <c r="Q279" s="3">
        <f t="shared" si="26"/>
        <v>5.3425560538116583</v>
      </c>
      <c r="R279">
        <f t="shared" si="27"/>
        <v>0</v>
      </c>
      <c r="S279" t="str">
        <f t="shared" si="28"/>
        <v>Suspicious</v>
      </c>
      <c r="U279" t="str">
        <f t="shared" si="29"/>
        <v>2025-03</v>
      </c>
    </row>
    <row r="280" spans="1:21" x14ac:dyDescent="0.35">
      <c r="A280" t="s">
        <v>292</v>
      </c>
      <c r="B280" t="s">
        <v>785</v>
      </c>
      <c r="C280" t="s">
        <v>1281</v>
      </c>
      <c r="D280" t="s">
        <v>1506</v>
      </c>
      <c r="E280" s="9" t="s">
        <v>1509</v>
      </c>
      <c r="F280" s="9" t="s">
        <v>1514</v>
      </c>
      <c r="G280" s="7">
        <v>45690</v>
      </c>
      <c r="H280" s="5">
        <v>91</v>
      </c>
      <c r="I280" s="3">
        <v>0</v>
      </c>
      <c r="J280" t="s">
        <v>1516</v>
      </c>
      <c r="K280" t="s">
        <v>1521</v>
      </c>
      <c r="L280" t="s">
        <v>1525</v>
      </c>
      <c r="M280">
        <v>22</v>
      </c>
      <c r="N280" t="s">
        <v>1528</v>
      </c>
      <c r="O280">
        <f t="shared" si="24"/>
        <v>2025</v>
      </c>
      <c r="P280">
        <f t="shared" si="25"/>
        <v>2</v>
      </c>
      <c r="Q280" s="3">
        <f t="shared" si="26"/>
        <v>5.3666216216216212</v>
      </c>
      <c r="R280">
        <f t="shared" si="27"/>
        <v>1</v>
      </c>
      <c r="S280" t="str">
        <f t="shared" si="28"/>
        <v>Normal</v>
      </c>
      <c r="U280" t="str">
        <f t="shared" si="29"/>
        <v>2025-02</v>
      </c>
    </row>
    <row r="281" spans="1:21" x14ac:dyDescent="0.35">
      <c r="A281" t="s">
        <v>293</v>
      </c>
      <c r="B281" t="s">
        <v>786</v>
      </c>
      <c r="C281" t="s">
        <v>1282</v>
      </c>
      <c r="D281" t="s">
        <v>1502</v>
      </c>
      <c r="E281" s="9" t="s">
        <v>1507</v>
      </c>
      <c r="F281" s="9" t="s">
        <v>1512</v>
      </c>
      <c r="G281" s="7">
        <v>45708</v>
      </c>
      <c r="H281" s="5">
        <v>127</v>
      </c>
      <c r="I281" s="3">
        <v>40.21</v>
      </c>
      <c r="J281" t="s">
        <v>1519</v>
      </c>
      <c r="K281" t="s">
        <v>1521</v>
      </c>
      <c r="L281" t="s">
        <v>1526</v>
      </c>
      <c r="M281">
        <v>38</v>
      </c>
      <c r="N281" t="s">
        <v>1527</v>
      </c>
      <c r="O281">
        <f t="shared" si="24"/>
        <v>2025</v>
      </c>
      <c r="P281">
        <f t="shared" si="25"/>
        <v>2</v>
      </c>
      <c r="Q281" s="3">
        <f t="shared" si="26"/>
        <v>5.3909049773755653</v>
      </c>
      <c r="R281">
        <f t="shared" si="27"/>
        <v>1</v>
      </c>
      <c r="S281" t="str">
        <f t="shared" si="28"/>
        <v>Normal</v>
      </c>
      <c r="U281" t="str">
        <f t="shared" si="29"/>
        <v>2025-02</v>
      </c>
    </row>
    <row r="282" spans="1:21" x14ac:dyDescent="0.35">
      <c r="A282" t="s">
        <v>294</v>
      </c>
      <c r="B282" t="s">
        <v>787</v>
      </c>
      <c r="C282" t="s">
        <v>1283</v>
      </c>
      <c r="D282" t="s">
        <v>1503</v>
      </c>
      <c r="E282" s="9" t="s">
        <v>1507</v>
      </c>
      <c r="F282" s="9" t="s">
        <v>1513</v>
      </c>
      <c r="G282" s="7">
        <v>45671</v>
      </c>
      <c r="H282" s="5">
        <v>179</v>
      </c>
      <c r="I282" s="3">
        <v>0</v>
      </c>
      <c r="J282" t="s">
        <v>1516</v>
      </c>
      <c r="K282" t="s">
        <v>1521</v>
      </c>
      <c r="L282" t="s">
        <v>1526</v>
      </c>
      <c r="M282">
        <v>34</v>
      </c>
      <c r="N282" t="s">
        <v>1527</v>
      </c>
      <c r="O282">
        <f t="shared" si="24"/>
        <v>2025</v>
      </c>
      <c r="P282">
        <f t="shared" si="25"/>
        <v>1</v>
      </c>
      <c r="Q282" s="3">
        <f t="shared" si="26"/>
        <v>5.232636363636364</v>
      </c>
      <c r="R282">
        <f t="shared" si="27"/>
        <v>1</v>
      </c>
      <c r="S282" t="str">
        <f t="shared" si="28"/>
        <v>Suspicious</v>
      </c>
      <c r="U282" t="str">
        <f t="shared" si="29"/>
        <v>2025-01</v>
      </c>
    </row>
    <row r="283" spans="1:21" x14ac:dyDescent="0.35">
      <c r="A283" t="s">
        <v>295</v>
      </c>
      <c r="B283" t="s">
        <v>788</v>
      </c>
      <c r="C283" t="s">
        <v>1284</v>
      </c>
      <c r="D283" t="s">
        <v>1504</v>
      </c>
      <c r="E283" s="9" t="s">
        <v>1508</v>
      </c>
      <c r="F283" s="9" t="s">
        <v>1511</v>
      </c>
      <c r="G283" s="7">
        <v>45727</v>
      </c>
      <c r="H283" s="5">
        <v>160</v>
      </c>
      <c r="I283" s="3">
        <v>0</v>
      </c>
      <c r="J283" t="s">
        <v>1516</v>
      </c>
      <c r="K283" t="s">
        <v>1521</v>
      </c>
      <c r="L283" t="s">
        <v>1525</v>
      </c>
      <c r="M283">
        <v>1</v>
      </c>
      <c r="N283" t="s">
        <v>1527</v>
      </c>
      <c r="O283">
        <f t="shared" si="24"/>
        <v>2025</v>
      </c>
      <c r="P283">
        <f t="shared" si="25"/>
        <v>3</v>
      </c>
      <c r="Q283" s="3">
        <f t="shared" si="26"/>
        <v>5.256529680365297</v>
      </c>
      <c r="R283">
        <f t="shared" si="27"/>
        <v>1</v>
      </c>
      <c r="S283" t="str">
        <f t="shared" si="28"/>
        <v>Normal</v>
      </c>
      <c r="U283" t="str">
        <f t="shared" si="29"/>
        <v>2025-03</v>
      </c>
    </row>
    <row r="284" spans="1:21" x14ac:dyDescent="0.35">
      <c r="A284" t="s">
        <v>296</v>
      </c>
      <c r="B284" t="s">
        <v>789</v>
      </c>
      <c r="C284" t="s">
        <v>1285</v>
      </c>
      <c r="D284" t="s">
        <v>1502</v>
      </c>
      <c r="E284" s="9" t="s">
        <v>1509</v>
      </c>
      <c r="F284" s="9" t="s">
        <v>1515</v>
      </c>
      <c r="G284" s="7">
        <v>45762</v>
      </c>
      <c r="H284" s="5">
        <v>175</v>
      </c>
      <c r="I284" s="3">
        <v>0</v>
      </c>
      <c r="J284" t="s">
        <v>1516</v>
      </c>
      <c r="K284" t="s">
        <v>1521</v>
      </c>
      <c r="L284" t="s">
        <v>1525</v>
      </c>
      <c r="M284">
        <v>1</v>
      </c>
      <c r="N284" t="s">
        <v>1527</v>
      </c>
      <c r="O284">
        <f t="shared" si="24"/>
        <v>2025</v>
      </c>
      <c r="P284">
        <f t="shared" si="25"/>
        <v>4</v>
      </c>
      <c r="Q284" s="3">
        <f t="shared" si="26"/>
        <v>5.2806422018348629</v>
      </c>
      <c r="R284">
        <f t="shared" si="27"/>
        <v>1</v>
      </c>
      <c r="S284" t="str">
        <f t="shared" si="28"/>
        <v>Suspicious</v>
      </c>
      <c r="U284" t="str">
        <f t="shared" si="29"/>
        <v>2025-04</v>
      </c>
    </row>
    <row r="285" spans="1:21" x14ac:dyDescent="0.35">
      <c r="A285" t="s">
        <v>297</v>
      </c>
      <c r="B285" t="s">
        <v>790</v>
      </c>
      <c r="C285" t="s">
        <v>1286</v>
      </c>
      <c r="D285" t="s">
        <v>1504</v>
      </c>
      <c r="E285" s="9" t="s">
        <v>1509</v>
      </c>
      <c r="F285" s="9" t="s">
        <v>1512</v>
      </c>
      <c r="G285" s="7">
        <v>45708</v>
      </c>
      <c r="H285" s="5">
        <v>112</v>
      </c>
      <c r="I285" s="3">
        <v>13.89</v>
      </c>
      <c r="J285" t="s">
        <v>1519</v>
      </c>
      <c r="K285" t="s">
        <v>1522</v>
      </c>
      <c r="L285" t="s">
        <v>1526</v>
      </c>
      <c r="M285">
        <v>25</v>
      </c>
      <c r="N285" t="s">
        <v>1528</v>
      </c>
      <c r="O285">
        <f t="shared" si="24"/>
        <v>2025</v>
      </c>
      <c r="P285">
        <f t="shared" si="25"/>
        <v>2</v>
      </c>
      <c r="Q285" s="3">
        <f t="shared" si="26"/>
        <v>5.3049769585253461</v>
      </c>
      <c r="R285">
        <f t="shared" si="27"/>
        <v>0</v>
      </c>
      <c r="S285" t="str">
        <f t="shared" si="28"/>
        <v>Normal</v>
      </c>
      <c r="U285" t="str">
        <f t="shared" si="29"/>
        <v>2025-02</v>
      </c>
    </row>
    <row r="286" spans="1:21" x14ac:dyDescent="0.35">
      <c r="A286" t="s">
        <v>298</v>
      </c>
      <c r="B286" t="s">
        <v>791</v>
      </c>
      <c r="C286" t="s">
        <v>1287</v>
      </c>
      <c r="D286" t="s">
        <v>1502</v>
      </c>
      <c r="E286" s="9" t="s">
        <v>1507</v>
      </c>
      <c r="F286" s="9" t="s">
        <v>1513</v>
      </c>
      <c r="G286" s="7">
        <v>45811</v>
      </c>
      <c r="H286" s="5">
        <v>85</v>
      </c>
      <c r="I286" s="3">
        <v>0</v>
      </c>
      <c r="J286" t="s">
        <v>1516</v>
      </c>
      <c r="K286" t="s">
        <v>1523</v>
      </c>
      <c r="L286" t="s">
        <v>1525</v>
      </c>
      <c r="M286">
        <v>24</v>
      </c>
      <c r="N286" t="s">
        <v>1528</v>
      </c>
      <c r="O286">
        <f t="shared" si="24"/>
        <v>2025</v>
      </c>
      <c r="P286">
        <f t="shared" si="25"/>
        <v>6</v>
      </c>
      <c r="Q286" s="3">
        <f t="shared" si="26"/>
        <v>5.2652314814814813</v>
      </c>
      <c r="R286">
        <f t="shared" si="27"/>
        <v>0</v>
      </c>
      <c r="S286" t="str">
        <f t="shared" si="28"/>
        <v>Normal</v>
      </c>
      <c r="U286" t="str">
        <f t="shared" si="29"/>
        <v>2025-06</v>
      </c>
    </row>
    <row r="287" spans="1:21" x14ac:dyDescent="0.35">
      <c r="A287" t="s">
        <v>299</v>
      </c>
      <c r="B287" t="s">
        <v>792</v>
      </c>
      <c r="C287" t="s">
        <v>1288</v>
      </c>
      <c r="D287" t="s">
        <v>1505</v>
      </c>
      <c r="E287" s="9" t="s">
        <v>1509</v>
      </c>
      <c r="F287" s="9" t="s">
        <v>1513</v>
      </c>
      <c r="G287" s="7">
        <v>45664</v>
      </c>
      <c r="H287" s="5">
        <v>16</v>
      </c>
      <c r="I287" s="3">
        <v>0</v>
      </c>
      <c r="J287" t="s">
        <v>1516</v>
      </c>
      <c r="K287" t="s">
        <v>1522</v>
      </c>
      <c r="L287" t="s">
        <v>1525</v>
      </c>
      <c r="M287">
        <v>6</v>
      </c>
      <c r="N287" t="s">
        <v>1528</v>
      </c>
      <c r="O287">
        <f t="shared" si="24"/>
        <v>2025</v>
      </c>
      <c r="P287">
        <f t="shared" si="25"/>
        <v>1</v>
      </c>
      <c r="Q287" s="3">
        <f t="shared" si="26"/>
        <v>5.2897209302325576</v>
      </c>
      <c r="R287">
        <f t="shared" si="27"/>
        <v>0</v>
      </c>
      <c r="S287" t="str">
        <f t="shared" si="28"/>
        <v>Normal</v>
      </c>
      <c r="U287" t="str">
        <f t="shared" si="29"/>
        <v>2025-01</v>
      </c>
    </row>
    <row r="288" spans="1:21" x14ac:dyDescent="0.35">
      <c r="A288" t="s">
        <v>300</v>
      </c>
      <c r="B288" t="s">
        <v>793</v>
      </c>
      <c r="C288" t="s">
        <v>1289</v>
      </c>
      <c r="D288" t="s">
        <v>1505</v>
      </c>
      <c r="E288" s="9" t="s">
        <v>1509</v>
      </c>
      <c r="F288" s="9" t="s">
        <v>1512</v>
      </c>
      <c r="G288" s="7">
        <v>45704</v>
      </c>
      <c r="H288" s="5">
        <v>80</v>
      </c>
      <c r="I288" s="3">
        <v>0</v>
      </c>
      <c r="J288" t="s">
        <v>1516</v>
      </c>
      <c r="K288" t="s">
        <v>1521</v>
      </c>
      <c r="L288" t="s">
        <v>1525</v>
      </c>
      <c r="M288">
        <v>16</v>
      </c>
      <c r="N288" t="s">
        <v>1528</v>
      </c>
      <c r="O288">
        <f t="shared" si="24"/>
        <v>2025</v>
      </c>
      <c r="P288">
        <f t="shared" si="25"/>
        <v>2</v>
      </c>
      <c r="Q288" s="3">
        <f t="shared" si="26"/>
        <v>5.3144392523364488</v>
      </c>
      <c r="R288">
        <f t="shared" si="27"/>
        <v>1</v>
      </c>
      <c r="S288" t="str">
        <f t="shared" si="28"/>
        <v>Normal</v>
      </c>
      <c r="U288" t="str">
        <f t="shared" si="29"/>
        <v>2025-02</v>
      </c>
    </row>
    <row r="289" spans="1:21" x14ac:dyDescent="0.35">
      <c r="A289" t="s">
        <v>301</v>
      </c>
      <c r="B289" t="s">
        <v>794</v>
      </c>
      <c r="C289" t="s">
        <v>1290</v>
      </c>
      <c r="D289" t="s">
        <v>1502</v>
      </c>
      <c r="E289" s="9" t="s">
        <v>1508</v>
      </c>
      <c r="F289" s="9" t="s">
        <v>1511</v>
      </c>
      <c r="G289" s="7">
        <v>45746</v>
      </c>
      <c r="H289" s="5">
        <v>69</v>
      </c>
      <c r="I289" s="3">
        <v>0</v>
      </c>
      <c r="J289" t="s">
        <v>1516</v>
      </c>
      <c r="K289" t="s">
        <v>1524</v>
      </c>
      <c r="L289" t="s">
        <v>1526</v>
      </c>
      <c r="M289">
        <v>17</v>
      </c>
      <c r="N289" t="s">
        <v>1528</v>
      </c>
      <c r="O289">
        <f t="shared" si="24"/>
        <v>2025</v>
      </c>
      <c r="P289">
        <f t="shared" si="25"/>
        <v>3</v>
      </c>
      <c r="Q289" s="3">
        <f t="shared" si="26"/>
        <v>5.3393896713615021</v>
      </c>
      <c r="R289">
        <f t="shared" si="27"/>
        <v>0</v>
      </c>
      <c r="S289" t="str">
        <f t="shared" si="28"/>
        <v>Normal</v>
      </c>
      <c r="U289" t="str">
        <f t="shared" si="29"/>
        <v>2025-03</v>
      </c>
    </row>
    <row r="290" spans="1:21" x14ac:dyDescent="0.35">
      <c r="A290" t="s">
        <v>302</v>
      </c>
      <c r="B290" t="s">
        <v>795</v>
      </c>
      <c r="C290" t="s">
        <v>1291</v>
      </c>
      <c r="D290" t="s">
        <v>1504</v>
      </c>
      <c r="E290" s="9" t="s">
        <v>1507</v>
      </c>
      <c r="F290" s="9" t="s">
        <v>1511</v>
      </c>
      <c r="G290" s="7">
        <v>45719</v>
      </c>
      <c r="H290" s="5">
        <v>25</v>
      </c>
      <c r="I290" s="3">
        <v>0</v>
      </c>
      <c r="J290" t="s">
        <v>1516</v>
      </c>
      <c r="K290" t="s">
        <v>1521</v>
      </c>
      <c r="L290" t="s">
        <v>1525</v>
      </c>
      <c r="M290">
        <v>34</v>
      </c>
      <c r="N290" t="s">
        <v>1528</v>
      </c>
      <c r="O290">
        <f t="shared" si="24"/>
        <v>2025</v>
      </c>
      <c r="P290">
        <f t="shared" si="25"/>
        <v>3</v>
      </c>
      <c r="Q290" s="3">
        <f t="shared" si="26"/>
        <v>5.3645754716981129</v>
      </c>
      <c r="R290">
        <f t="shared" si="27"/>
        <v>1</v>
      </c>
      <c r="S290" t="str">
        <f t="shared" si="28"/>
        <v>Normal</v>
      </c>
      <c r="U290" t="str">
        <f t="shared" si="29"/>
        <v>2025-03</v>
      </c>
    </row>
    <row r="291" spans="1:21" x14ac:dyDescent="0.35">
      <c r="A291" t="s">
        <v>303</v>
      </c>
      <c r="B291" t="s">
        <v>796</v>
      </c>
      <c r="C291" t="s">
        <v>1292</v>
      </c>
      <c r="D291" t="s">
        <v>1505</v>
      </c>
      <c r="E291" s="9" t="s">
        <v>1509</v>
      </c>
      <c r="F291" s="9" t="s">
        <v>1515</v>
      </c>
      <c r="G291" s="7">
        <v>45652</v>
      </c>
      <c r="H291" s="5">
        <v>154</v>
      </c>
      <c r="I291" s="3">
        <v>0</v>
      </c>
      <c r="J291" t="s">
        <v>1516</v>
      </c>
      <c r="K291" t="s">
        <v>1521</v>
      </c>
      <c r="L291" t="s">
        <v>1526</v>
      </c>
      <c r="M291">
        <v>14</v>
      </c>
      <c r="N291" t="s">
        <v>1527</v>
      </c>
      <c r="O291">
        <f t="shared" si="24"/>
        <v>2024</v>
      </c>
      <c r="P291">
        <f t="shared" si="25"/>
        <v>12</v>
      </c>
      <c r="Q291" s="3">
        <f t="shared" si="26"/>
        <v>5.39</v>
      </c>
      <c r="R291">
        <f t="shared" si="27"/>
        <v>1</v>
      </c>
      <c r="S291" t="str">
        <f t="shared" si="28"/>
        <v>Normal</v>
      </c>
      <c r="U291" t="str">
        <f t="shared" si="29"/>
        <v>2024-12</v>
      </c>
    </row>
    <row r="292" spans="1:21" x14ac:dyDescent="0.35">
      <c r="A292" t="s">
        <v>304</v>
      </c>
      <c r="B292" t="s">
        <v>797</v>
      </c>
      <c r="C292" t="s">
        <v>1293</v>
      </c>
      <c r="D292" t="s">
        <v>1504</v>
      </c>
      <c r="E292" s="9" t="s">
        <v>1509</v>
      </c>
      <c r="F292" s="9" t="s">
        <v>1513</v>
      </c>
      <c r="G292" s="7">
        <v>45771</v>
      </c>
      <c r="H292" s="5">
        <v>66</v>
      </c>
      <c r="I292" s="3">
        <v>0</v>
      </c>
      <c r="J292" t="s">
        <v>1516</v>
      </c>
      <c r="K292" t="s">
        <v>1523</v>
      </c>
      <c r="L292" t="s">
        <v>1525</v>
      </c>
      <c r="M292">
        <v>4</v>
      </c>
      <c r="N292" t="s">
        <v>1528</v>
      </c>
      <c r="O292">
        <f t="shared" si="24"/>
        <v>2025</v>
      </c>
      <c r="P292">
        <f t="shared" si="25"/>
        <v>4</v>
      </c>
      <c r="Q292" s="3">
        <f t="shared" si="26"/>
        <v>5.4156666666666666</v>
      </c>
      <c r="R292">
        <f t="shared" si="27"/>
        <v>0</v>
      </c>
      <c r="S292" t="str">
        <f t="shared" si="28"/>
        <v>Normal</v>
      </c>
      <c r="U292" t="str">
        <f t="shared" si="29"/>
        <v>2025-04</v>
      </c>
    </row>
    <row r="293" spans="1:21" x14ac:dyDescent="0.35">
      <c r="A293" t="s">
        <v>305</v>
      </c>
      <c r="B293" t="s">
        <v>798</v>
      </c>
      <c r="C293" t="s">
        <v>1294</v>
      </c>
      <c r="D293" t="s">
        <v>1503</v>
      </c>
      <c r="E293" s="9" t="s">
        <v>1507</v>
      </c>
      <c r="F293" s="9" t="s">
        <v>1512</v>
      </c>
      <c r="G293" s="7">
        <v>45797</v>
      </c>
      <c r="H293" s="5">
        <v>164</v>
      </c>
      <c r="I293" s="3">
        <v>14.33</v>
      </c>
      <c r="J293" t="s">
        <v>1520</v>
      </c>
      <c r="K293" t="s">
        <v>1521</v>
      </c>
      <c r="L293" t="s">
        <v>1526</v>
      </c>
      <c r="M293">
        <v>4</v>
      </c>
      <c r="N293" t="s">
        <v>1527</v>
      </c>
      <c r="O293">
        <f t="shared" si="24"/>
        <v>2025</v>
      </c>
      <c r="P293">
        <f t="shared" si="25"/>
        <v>5</v>
      </c>
      <c r="Q293" s="3">
        <f t="shared" si="26"/>
        <v>5.4415789473684208</v>
      </c>
      <c r="R293">
        <f t="shared" si="27"/>
        <v>1</v>
      </c>
      <c r="S293" t="str">
        <f t="shared" si="28"/>
        <v>Normal</v>
      </c>
      <c r="U293" t="str">
        <f t="shared" si="29"/>
        <v>2025-05</v>
      </c>
    </row>
    <row r="294" spans="1:21" x14ac:dyDescent="0.35">
      <c r="A294" t="s">
        <v>306</v>
      </c>
      <c r="B294" t="s">
        <v>799</v>
      </c>
      <c r="C294" t="s">
        <v>1295</v>
      </c>
      <c r="D294" t="s">
        <v>1506</v>
      </c>
      <c r="E294" s="9" t="s">
        <v>1507</v>
      </c>
      <c r="F294" s="9" t="s">
        <v>1510</v>
      </c>
      <c r="G294" s="7">
        <v>45811</v>
      </c>
      <c r="H294" s="5">
        <v>9</v>
      </c>
      <c r="I294" s="3">
        <v>0</v>
      </c>
      <c r="J294" t="s">
        <v>1516</v>
      </c>
      <c r="K294" t="s">
        <v>1521</v>
      </c>
      <c r="L294" t="s">
        <v>1525</v>
      </c>
      <c r="M294">
        <v>10</v>
      </c>
      <c r="N294" t="s">
        <v>1528</v>
      </c>
      <c r="O294">
        <f t="shared" si="24"/>
        <v>2025</v>
      </c>
      <c r="P294">
        <f t="shared" si="25"/>
        <v>6</v>
      </c>
      <c r="Q294" s="3">
        <f t="shared" si="26"/>
        <v>5.3988461538461543</v>
      </c>
      <c r="R294">
        <f t="shared" si="27"/>
        <v>1</v>
      </c>
      <c r="S294" t="str">
        <f t="shared" si="28"/>
        <v>Normal</v>
      </c>
      <c r="U294" t="str">
        <f t="shared" si="29"/>
        <v>2025-06</v>
      </c>
    </row>
    <row r="295" spans="1:21" x14ac:dyDescent="0.35">
      <c r="A295" t="s">
        <v>307</v>
      </c>
      <c r="B295" t="s">
        <v>800</v>
      </c>
      <c r="C295" t="s">
        <v>1296</v>
      </c>
      <c r="D295" t="s">
        <v>1502</v>
      </c>
      <c r="E295" s="9" t="s">
        <v>1508</v>
      </c>
      <c r="F295" s="9" t="s">
        <v>1510</v>
      </c>
      <c r="G295" s="7">
        <v>45788</v>
      </c>
      <c r="H295" s="5">
        <v>31</v>
      </c>
      <c r="I295" s="3">
        <v>0</v>
      </c>
      <c r="J295" t="s">
        <v>1516</v>
      </c>
      <c r="K295" t="s">
        <v>1522</v>
      </c>
      <c r="L295" t="s">
        <v>1525</v>
      </c>
      <c r="M295">
        <v>23</v>
      </c>
      <c r="N295" t="s">
        <v>1528</v>
      </c>
      <c r="O295">
        <f t="shared" si="24"/>
        <v>2025</v>
      </c>
      <c r="P295">
        <f t="shared" si="25"/>
        <v>5</v>
      </c>
      <c r="Q295" s="3">
        <f t="shared" si="26"/>
        <v>5.4249275362318841</v>
      </c>
      <c r="R295">
        <f t="shared" si="27"/>
        <v>0</v>
      </c>
      <c r="S295" t="str">
        <f t="shared" si="28"/>
        <v>Normal</v>
      </c>
      <c r="U295" t="str">
        <f t="shared" si="29"/>
        <v>2025-05</v>
      </c>
    </row>
    <row r="296" spans="1:21" x14ac:dyDescent="0.35">
      <c r="A296" t="s">
        <v>308</v>
      </c>
      <c r="B296" t="s">
        <v>801</v>
      </c>
      <c r="C296" t="s">
        <v>1297</v>
      </c>
      <c r="D296" t="s">
        <v>1506</v>
      </c>
      <c r="E296" s="9" t="s">
        <v>1508</v>
      </c>
      <c r="F296" s="9" t="s">
        <v>1511</v>
      </c>
      <c r="G296" s="7">
        <v>45669</v>
      </c>
      <c r="H296" s="5">
        <v>61</v>
      </c>
      <c r="I296" s="3">
        <v>0</v>
      </c>
      <c r="J296" t="s">
        <v>1516</v>
      </c>
      <c r="K296" t="s">
        <v>1521</v>
      </c>
      <c r="L296" t="s">
        <v>1525</v>
      </c>
      <c r="M296">
        <v>30</v>
      </c>
      <c r="N296" t="s">
        <v>1528</v>
      </c>
      <c r="O296">
        <f t="shared" si="24"/>
        <v>2025</v>
      </c>
      <c r="P296">
        <f t="shared" si="25"/>
        <v>1</v>
      </c>
      <c r="Q296" s="3">
        <f t="shared" si="26"/>
        <v>5.4512621359223301</v>
      </c>
      <c r="R296">
        <f t="shared" si="27"/>
        <v>1</v>
      </c>
      <c r="S296" t="str">
        <f t="shared" si="28"/>
        <v>Normal</v>
      </c>
      <c r="U296" t="str">
        <f t="shared" si="29"/>
        <v>2025-01</v>
      </c>
    </row>
    <row r="297" spans="1:21" x14ac:dyDescent="0.35">
      <c r="A297" t="s">
        <v>309</v>
      </c>
      <c r="B297" t="s">
        <v>802</v>
      </c>
      <c r="C297" t="s">
        <v>1298</v>
      </c>
      <c r="D297" t="s">
        <v>1506</v>
      </c>
      <c r="E297" s="9" t="s">
        <v>1509</v>
      </c>
      <c r="F297" s="9" t="s">
        <v>1514</v>
      </c>
      <c r="G297" s="7">
        <v>45719</v>
      </c>
      <c r="H297" s="5">
        <v>178</v>
      </c>
      <c r="I297" s="3">
        <v>0</v>
      </c>
      <c r="J297" t="s">
        <v>1516</v>
      </c>
      <c r="K297" t="s">
        <v>1521</v>
      </c>
      <c r="L297" t="s">
        <v>1525</v>
      </c>
      <c r="M297">
        <v>30</v>
      </c>
      <c r="N297" t="s">
        <v>1527</v>
      </c>
      <c r="O297">
        <f t="shared" si="24"/>
        <v>2025</v>
      </c>
      <c r="P297">
        <f t="shared" si="25"/>
        <v>3</v>
      </c>
      <c r="Q297" s="3">
        <f t="shared" si="26"/>
        <v>5.4778536585365858</v>
      </c>
      <c r="R297">
        <f t="shared" si="27"/>
        <v>1</v>
      </c>
      <c r="S297" t="str">
        <f t="shared" si="28"/>
        <v>Suspicious</v>
      </c>
      <c r="U297" t="str">
        <f t="shared" si="29"/>
        <v>2025-03</v>
      </c>
    </row>
    <row r="298" spans="1:21" x14ac:dyDescent="0.35">
      <c r="A298" t="s">
        <v>310</v>
      </c>
      <c r="B298" t="s">
        <v>803</v>
      </c>
      <c r="C298" t="s">
        <v>1299</v>
      </c>
      <c r="D298" t="s">
        <v>1502</v>
      </c>
      <c r="E298" s="9" t="s">
        <v>1509</v>
      </c>
      <c r="F298" s="9" t="s">
        <v>1510</v>
      </c>
      <c r="G298" s="7">
        <v>45782</v>
      </c>
      <c r="H298" s="5">
        <v>68</v>
      </c>
      <c r="I298" s="3">
        <v>0</v>
      </c>
      <c r="J298" t="s">
        <v>1516</v>
      </c>
      <c r="K298" t="s">
        <v>1521</v>
      </c>
      <c r="L298" t="s">
        <v>1525</v>
      </c>
      <c r="M298">
        <v>21</v>
      </c>
      <c r="N298" t="s">
        <v>1528</v>
      </c>
      <c r="O298">
        <f t="shared" si="24"/>
        <v>2025</v>
      </c>
      <c r="P298">
        <f t="shared" si="25"/>
        <v>5</v>
      </c>
      <c r="Q298" s="3">
        <f t="shared" si="26"/>
        <v>5.5047058823529413</v>
      </c>
      <c r="R298">
        <f t="shared" si="27"/>
        <v>1</v>
      </c>
      <c r="S298" t="str">
        <f t="shared" si="28"/>
        <v>Normal</v>
      </c>
      <c r="U298" t="str">
        <f t="shared" si="29"/>
        <v>2025-05</v>
      </c>
    </row>
    <row r="299" spans="1:21" x14ac:dyDescent="0.35">
      <c r="A299" t="s">
        <v>311</v>
      </c>
      <c r="B299" t="s">
        <v>804</v>
      </c>
      <c r="C299" t="s">
        <v>1300</v>
      </c>
      <c r="D299" t="s">
        <v>1504</v>
      </c>
      <c r="E299" s="9" t="s">
        <v>1509</v>
      </c>
      <c r="F299" s="9" t="s">
        <v>1510</v>
      </c>
      <c r="G299" s="7">
        <v>45644</v>
      </c>
      <c r="H299" s="5">
        <v>174</v>
      </c>
      <c r="I299" s="3">
        <v>0</v>
      </c>
      <c r="J299" t="s">
        <v>1516</v>
      </c>
      <c r="K299" t="s">
        <v>1523</v>
      </c>
      <c r="L299" t="s">
        <v>1525</v>
      </c>
      <c r="M299">
        <v>50</v>
      </c>
      <c r="N299" t="s">
        <v>1527</v>
      </c>
      <c r="O299">
        <f t="shared" si="24"/>
        <v>2024</v>
      </c>
      <c r="P299">
        <f t="shared" si="25"/>
        <v>12</v>
      </c>
      <c r="Q299" s="3">
        <f t="shared" si="26"/>
        <v>5.5318226600985225</v>
      </c>
      <c r="R299">
        <f t="shared" si="27"/>
        <v>0</v>
      </c>
      <c r="S299" t="str">
        <f t="shared" si="28"/>
        <v>Suspicious</v>
      </c>
      <c r="U299" t="str">
        <f t="shared" si="29"/>
        <v>2024-12</v>
      </c>
    </row>
    <row r="300" spans="1:21" x14ac:dyDescent="0.35">
      <c r="A300" t="s">
        <v>312</v>
      </c>
      <c r="B300" t="s">
        <v>805</v>
      </c>
      <c r="C300" t="s">
        <v>1301</v>
      </c>
      <c r="D300" t="s">
        <v>1504</v>
      </c>
      <c r="E300" s="9" t="s">
        <v>1508</v>
      </c>
      <c r="F300" s="9" t="s">
        <v>1514</v>
      </c>
      <c r="G300" s="7">
        <v>45705</v>
      </c>
      <c r="H300" s="5">
        <v>42</v>
      </c>
      <c r="I300" s="3">
        <v>0</v>
      </c>
      <c r="J300" t="s">
        <v>1516</v>
      </c>
      <c r="K300" t="s">
        <v>1521</v>
      </c>
      <c r="L300" t="s">
        <v>1525</v>
      </c>
      <c r="M300">
        <v>15</v>
      </c>
      <c r="N300" t="s">
        <v>1528</v>
      </c>
      <c r="O300">
        <f t="shared" si="24"/>
        <v>2025</v>
      </c>
      <c r="P300">
        <f t="shared" si="25"/>
        <v>2</v>
      </c>
      <c r="Q300" s="3">
        <f t="shared" si="26"/>
        <v>5.5592079207920797</v>
      </c>
      <c r="R300">
        <f t="shared" si="27"/>
        <v>1</v>
      </c>
      <c r="S300" t="str">
        <f t="shared" si="28"/>
        <v>Normal</v>
      </c>
      <c r="U300" t="str">
        <f t="shared" si="29"/>
        <v>2025-02</v>
      </c>
    </row>
    <row r="301" spans="1:21" x14ac:dyDescent="0.35">
      <c r="A301" t="s">
        <v>313</v>
      </c>
      <c r="B301" t="s">
        <v>806</v>
      </c>
      <c r="C301" t="s">
        <v>1302</v>
      </c>
      <c r="D301" t="s">
        <v>1503</v>
      </c>
      <c r="E301" s="9" t="s">
        <v>1507</v>
      </c>
      <c r="F301" s="9" t="s">
        <v>1510</v>
      </c>
      <c r="G301" s="7">
        <v>45664</v>
      </c>
      <c r="H301" s="5">
        <v>90</v>
      </c>
      <c r="I301" s="3">
        <v>0</v>
      </c>
      <c r="J301" t="s">
        <v>1516</v>
      </c>
      <c r="K301" t="s">
        <v>1523</v>
      </c>
      <c r="L301" t="s">
        <v>1525</v>
      </c>
      <c r="M301">
        <v>3</v>
      </c>
      <c r="N301" t="s">
        <v>1528</v>
      </c>
      <c r="O301">
        <f t="shared" si="24"/>
        <v>2025</v>
      </c>
      <c r="P301">
        <f t="shared" si="25"/>
        <v>1</v>
      </c>
      <c r="Q301" s="3">
        <f t="shared" si="26"/>
        <v>5.5868656716417915</v>
      </c>
      <c r="R301">
        <f t="shared" si="27"/>
        <v>0</v>
      </c>
      <c r="S301" t="str">
        <f t="shared" si="28"/>
        <v>Normal</v>
      </c>
      <c r="U301" t="str">
        <f t="shared" si="29"/>
        <v>2025-01</v>
      </c>
    </row>
    <row r="302" spans="1:21" x14ac:dyDescent="0.35">
      <c r="A302" t="s">
        <v>314</v>
      </c>
      <c r="B302" t="s">
        <v>807</v>
      </c>
      <c r="C302" t="s">
        <v>1303</v>
      </c>
      <c r="D302" t="s">
        <v>1506</v>
      </c>
      <c r="E302" s="9" t="s">
        <v>1508</v>
      </c>
      <c r="F302" s="9" t="s">
        <v>1511</v>
      </c>
      <c r="G302" s="7">
        <v>45708</v>
      </c>
      <c r="H302" s="5">
        <v>70</v>
      </c>
      <c r="I302" s="3">
        <v>19.62</v>
      </c>
      <c r="J302" t="s">
        <v>1520</v>
      </c>
      <c r="K302" t="s">
        <v>1521</v>
      </c>
      <c r="L302" t="s">
        <v>1526</v>
      </c>
      <c r="M302">
        <v>47</v>
      </c>
      <c r="N302" t="s">
        <v>1528</v>
      </c>
      <c r="O302">
        <f t="shared" si="24"/>
        <v>2025</v>
      </c>
      <c r="P302">
        <f t="shared" si="25"/>
        <v>2</v>
      </c>
      <c r="Q302" s="3">
        <f t="shared" si="26"/>
        <v>5.6147999999999998</v>
      </c>
      <c r="R302">
        <f t="shared" si="27"/>
        <v>1</v>
      </c>
      <c r="S302" t="str">
        <f t="shared" si="28"/>
        <v>Normal</v>
      </c>
      <c r="U302" t="str">
        <f t="shared" si="29"/>
        <v>2025-02</v>
      </c>
    </row>
    <row r="303" spans="1:21" x14ac:dyDescent="0.35">
      <c r="A303" t="s">
        <v>315</v>
      </c>
      <c r="B303" t="s">
        <v>808</v>
      </c>
      <c r="C303" t="s">
        <v>1304</v>
      </c>
      <c r="D303" t="s">
        <v>1505</v>
      </c>
      <c r="E303" s="9" t="s">
        <v>1508</v>
      </c>
      <c r="F303" s="9" t="s">
        <v>1512</v>
      </c>
      <c r="G303" s="7">
        <v>45748</v>
      </c>
      <c r="H303" s="5">
        <v>93</v>
      </c>
      <c r="I303" s="3">
        <v>0</v>
      </c>
      <c r="J303" t="s">
        <v>1516</v>
      </c>
      <c r="K303" t="s">
        <v>1521</v>
      </c>
      <c r="L303" t="s">
        <v>1525</v>
      </c>
      <c r="M303">
        <v>47</v>
      </c>
      <c r="N303" t="s">
        <v>1528</v>
      </c>
      <c r="O303">
        <f t="shared" si="24"/>
        <v>2025</v>
      </c>
      <c r="P303">
        <f t="shared" si="25"/>
        <v>4</v>
      </c>
      <c r="Q303" s="3">
        <f t="shared" si="26"/>
        <v>5.5444221105527633</v>
      </c>
      <c r="R303">
        <f t="shared" si="27"/>
        <v>1</v>
      </c>
      <c r="S303" t="str">
        <f t="shared" si="28"/>
        <v>Normal</v>
      </c>
      <c r="U303" t="str">
        <f t="shared" si="29"/>
        <v>2025-04</v>
      </c>
    </row>
    <row r="304" spans="1:21" x14ac:dyDescent="0.35">
      <c r="A304" t="s">
        <v>316</v>
      </c>
      <c r="B304" t="s">
        <v>809</v>
      </c>
      <c r="C304" t="s">
        <v>1305</v>
      </c>
      <c r="D304" t="s">
        <v>1502</v>
      </c>
      <c r="E304" s="9" t="s">
        <v>1509</v>
      </c>
      <c r="F304" s="9" t="s">
        <v>1510</v>
      </c>
      <c r="G304" s="7">
        <v>45801</v>
      </c>
      <c r="H304" s="5">
        <v>155</v>
      </c>
      <c r="I304" s="3">
        <v>31.24</v>
      </c>
      <c r="J304" t="s">
        <v>1519</v>
      </c>
      <c r="K304" t="s">
        <v>1521</v>
      </c>
      <c r="L304" t="s">
        <v>1526</v>
      </c>
      <c r="M304">
        <v>33</v>
      </c>
      <c r="N304" t="s">
        <v>1527</v>
      </c>
      <c r="O304">
        <f t="shared" si="24"/>
        <v>2025</v>
      </c>
      <c r="P304">
        <f t="shared" si="25"/>
        <v>5</v>
      </c>
      <c r="Q304" s="3">
        <f t="shared" si="26"/>
        <v>5.5724242424242423</v>
      </c>
      <c r="R304">
        <f t="shared" si="27"/>
        <v>1</v>
      </c>
      <c r="S304" t="str">
        <f t="shared" si="28"/>
        <v>Normal</v>
      </c>
      <c r="U304" t="str">
        <f t="shared" si="29"/>
        <v>2025-05</v>
      </c>
    </row>
    <row r="305" spans="1:21" x14ac:dyDescent="0.35">
      <c r="A305" t="s">
        <v>317</v>
      </c>
      <c r="B305" t="s">
        <v>810</v>
      </c>
      <c r="C305" t="s">
        <v>1306</v>
      </c>
      <c r="D305" t="s">
        <v>1505</v>
      </c>
      <c r="E305" s="9" t="s">
        <v>1508</v>
      </c>
      <c r="F305" s="9" t="s">
        <v>1512</v>
      </c>
      <c r="G305" s="7">
        <v>45785</v>
      </c>
      <c r="H305" s="5">
        <v>122</v>
      </c>
      <c r="I305" s="3">
        <v>40.31</v>
      </c>
      <c r="J305" t="s">
        <v>1519</v>
      </c>
      <c r="K305" t="s">
        <v>1521</v>
      </c>
      <c r="L305" t="s">
        <v>1526</v>
      </c>
      <c r="M305">
        <v>33</v>
      </c>
      <c r="N305" t="s">
        <v>1527</v>
      </c>
      <c r="O305">
        <f t="shared" si="24"/>
        <v>2025</v>
      </c>
      <c r="P305">
        <f t="shared" si="25"/>
        <v>5</v>
      </c>
      <c r="Q305" s="3">
        <f t="shared" si="26"/>
        <v>5.4421319796954313</v>
      </c>
      <c r="R305">
        <f t="shared" si="27"/>
        <v>1</v>
      </c>
      <c r="S305" t="str">
        <f t="shared" si="28"/>
        <v>Normal</v>
      </c>
      <c r="U305" t="str">
        <f t="shared" si="29"/>
        <v>2025-05</v>
      </c>
    </row>
    <row r="306" spans="1:21" x14ac:dyDescent="0.35">
      <c r="A306" t="s">
        <v>318</v>
      </c>
      <c r="B306" t="s">
        <v>811</v>
      </c>
      <c r="C306" t="s">
        <v>1307</v>
      </c>
      <c r="D306" t="s">
        <v>1506</v>
      </c>
      <c r="E306" s="9" t="s">
        <v>1507</v>
      </c>
      <c r="F306" s="9" t="s">
        <v>1512</v>
      </c>
      <c r="G306" s="7">
        <v>45719</v>
      </c>
      <c r="H306" s="5">
        <v>62</v>
      </c>
      <c r="I306" s="3">
        <v>0</v>
      </c>
      <c r="J306" t="s">
        <v>1516</v>
      </c>
      <c r="K306" t="s">
        <v>1524</v>
      </c>
      <c r="L306" t="s">
        <v>1525</v>
      </c>
      <c r="M306">
        <v>19</v>
      </c>
      <c r="N306" t="s">
        <v>1528</v>
      </c>
      <c r="O306">
        <f t="shared" si="24"/>
        <v>2025</v>
      </c>
      <c r="P306">
        <f t="shared" si="25"/>
        <v>3</v>
      </c>
      <c r="Q306" s="3">
        <f t="shared" si="26"/>
        <v>5.2642346938775511</v>
      </c>
      <c r="R306">
        <f t="shared" si="27"/>
        <v>0</v>
      </c>
      <c r="S306" t="str">
        <f t="shared" si="28"/>
        <v>Normal</v>
      </c>
      <c r="U306" t="str">
        <f t="shared" si="29"/>
        <v>2025-03</v>
      </c>
    </row>
    <row r="307" spans="1:21" x14ac:dyDescent="0.35">
      <c r="A307" t="s">
        <v>319</v>
      </c>
      <c r="B307" t="s">
        <v>812</v>
      </c>
      <c r="C307" t="s">
        <v>1308</v>
      </c>
      <c r="D307" t="s">
        <v>1506</v>
      </c>
      <c r="E307" s="9" t="s">
        <v>1509</v>
      </c>
      <c r="F307" s="9" t="s">
        <v>1510</v>
      </c>
      <c r="G307" s="7">
        <v>45794</v>
      </c>
      <c r="H307" s="5">
        <v>31</v>
      </c>
      <c r="I307" s="3">
        <v>0</v>
      </c>
      <c r="J307" t="s">
        <v>1516</v>
      </c>
      <c r="K307" t="s">
        <v>1521</v>
      </c>
      <c r="L307" t="s">
        <v>1525</v>
      </c>
      <c r="M307">
        <v>18</v>
      </c>
      <c r="N307" t="s">
        <v>1528</v>
      </c>
      <c r="O307">
        <f t="shared" si="24"/>
        <v>2025</v>
      </c>
      <c r="P307">
        <f t="shared" si="25"/>
        <v>5</v>
      </c>
      <c r="Q307" s="3">
        <f t="shared" si="26"/>
        <v>5.2912307692307694</v>
      </c>
      <c r="R307">
        <f t="shared" si="27"/>
        <v>1</v>
      </c>
      <c r="S307" t="str">
        <f t="shared" si="28"/>
        <v>Normal</v>
      </c>
      <c r="U307" t="str">
        <f t="shared" si="29"/>
        <v>2025-05</v>
      </c>
    </row>
    <row r="308" spans="1:21" x14ac:dyDescent="0.35">
      <c r="A308" t="s">
        <v>320</v>
      </c>
      <c r="B308" t="s">
        <v>813</v>
      </c>
      <c r="C308" t="s">
        <v>1309</v>
      </c>
      <c r="D308" t="s">
        <v>1502</v>
      </c>
      <c r="E308" s="9" t="s">
        <v>1508</v>
      </c>
      <c r="F308" s="9" t="s">
        <v>1513</v>
      </c>
      <c r="G308" s="7">
        <v>45759</v>
      </c>
      <c r="H308" s="5">
        <v>109</v>
      </c>
      <c r="I308" s="3">
        <v>0</v>
      </c>
      <c r="J308" t="s">
        <v>1516</v>
      </c>
      <c r="K308" t="s">
        <v>1521</v>
      </c>
      <c r="L308" t="s">
        <v>1525</v>
      </c>
      <c r="M308">
        <v>40</v>
      </c>
      <c r="N308" t="s">
        <v>1528</v>
      </c>
      <c r="O308">
        <f t="shared" si="24"/>
        <v>2025</v>
      </c>
      <c r="P308">
        <f t="shared" si="25"/>
        <v>4</v>
      </c>
      <c r="Q308" s="3">
        <f t="shared" si="26"/>
        <v>5.3185051546391753</v>
      </c>
      <c r="R308">
        <f t="shared" si="27"/>
        <v>1</v>
      </c>
      <c r="S308" t="str">
        <f t="shared" si="28"/>
        <v>Normal</v>
      </c>
      <c r="U308" t="str">
        <f t="shared" si="29"/>
        <v>2025-04</v>
      </c>
    </row>
    <row r="309" spans="1:21" x14ac:dyDescent="0.35">
      <c r="A309" t="s">
        <v>321</v>
      </c>
      <c r="B309" t="s">
        <v>814</v>
      </c>
      <c r="C309" t="s">
        <v>1310</v>
      </c>
      <c r="D309" t="s">
        <v>1504</v>
      </c>
      <c r="E309" s="9" t="s">
        <v>1507</v>
      </c>
      <c r="F309" s="9" t="s">
        <v>1510</v>
      </c>
      <c r="G309" s="7">
        <v>45708</v>
      </c>
      <c r="H309" s="5">
        <v>178</v>
      </c>
      <c r="I309" s="3">
        <v>38.369999999999997</v>
      </c>
      <c r="J309" t="s">
        <v>1519</v>
      </c>
      <c r="K309" t="s">
        <v>1521</v>
      </c>
      <c r="L309" t="s">
        <v>1526</v>
      </c>
      <c r="M309">
        <v>32</v>
      </c>
      <c r="N309" t="s">
        <v>1527</v>
      </c>
      <c r="O309">
        <f t="shared" si="24"/>
        <v>2025</v>
      </c>
      <c r="P309">
        <f t="shared" si="25"/>
        <v>2</v>
      </c>
      <c r="Q309" s="3">
        <f t="shared" si="26"/>
        <v>5.3460621761658027</v>
      </c>
      <c r="R309">
        <f t="shared" si="27"/>
        <v>1</v>
      </c>
      <c r="S309" t="str">
        <f t="shared" si="28"/>
        <v>Suspicious</v>
      </c>
      <c r="U309" t="str">
        <f t="shared" si="29"/>
        <v>2025-02</v>
      </c>
    </row>
    <row r="310" spans="1:21" x14ac:dyDescent="0.35">
      <c r="A310" t="s">
        <v>322</v>
      </c>
      <c r="B310" t="s">
        <v>815</v>
      </c>
      <c r="C310" t="s">
        <v>1311</v>
      </c>
      <c r="D310" t="s">
        <v>1502</v>
      </c>
      <c r="E310" s="9" t="s">
        <v>1508</v>
      </c>
      <c r="F310" s="9" t="s">
        <v>1513</v>
      </c>
      <c r="G310" s="7">
        <v>45666</v>
      </c>
      <c r="H310" s="5">
        <v>34</v>
      </c>
      <c r="I310" s="3">
        <v>0</v>
      </c>
      <c r="J310" t="s">
        <v>1516</v>
      </c>
      <c r="K310" t="s">
        <v>1521</v>
      </c>
      <c r="L310" t="s">
        <v>1525</v>
      </c>
      <c r="M310">
        <v>12</v>
      </c>
      <c r="N310" t="s">
        <v>1528</v>
      </c>
      <c r="O310">
        <f t="shared" si="24"/>
        <v>2025</v>
      </c>
      <c r="P310">
        <f t="shared" si="25"/>
        <v>1</v>
      </c>
      <c r="Q310" s="3">
        <f t="shared" si="26"/>
        <v>5.1740625000000007</v>
      </c>
      <c r="R310">
        <f t="shared" si="27"/>
        <v>1</v>
      </c>
      <c r="S310" t="str">
        <f t="shared" si="28"/>
        <v>Normal</v>
      </c>
      <c r="U310" t="str">
        <f t="shared" si="29"/>
        <v>2025-01</v>
      </c>
    </row>
    <row r="311" spans="1:21" x14ac:dyDescent="0.35">
      <c r="A311" t="s">
        <v>323</v>
      </c>
      <c r="B311" t="s">
        <v>816</v>
      </c>
      <c r="C311" t="s">
        <v>1312</v>
      </c>
      <c r="D311" t="s">
        <v>1505</v>
      </c>
      <c r="E311" s="9" t="s">
        <v>1507</v>
      </c>
      <c r="F311" s="9" t="s">
        <v>1510</v>
      </c>
      <c r="G311" s="7">
        <v>45812</v>
      </c>
      <c r="H311" s="5">
        <v>139</v>
      </c>
      <c r="I311" s="3">
        <v>0</v>
      </c>
      <c r="J311" t="s">
        <v>1516</v>
      </c>
      <c r="K311" t="s">
        <v>1521</v>
      </c>
      <c r="L311" t="s">
        <v>1525</v>
      </c>
      <c r="M311">
        <v>1</v>
      </c>
      <c r="N311" t="s">
        <v>1528</v>
      </c>
      <c r="O311">
        <f t="shared" si="24"/>
        <v>2025</v>
      </c>
      <c r="P311">
        <f t="shared" si="25"/>
        <v>6</v>
      </c>
      <c r="Q311" s="3">
        <f t="shared" si="26"/>
        <v>5.2011518324607335</v>
      </c>
      <c r="R311">
        <f t="shared" si="27"/>
        <v>1</v>
      </c>
      <c r="S311" t="str">
        <f t="shared" si="28"/>
        <v>Normal</v>
      </c>
      <c r="U311" t="str">
        <f t="shared" si="29"/>
        <v>2025-06</v>
      </c>
    </row>
    <row r="312" spans="1:21" x14ac:dyDescent="0.35">
      <c r="A312" t="s">
        <v>324</v>
      </c>
      <c r="B312" t="s">
        <v>817</v>
      </c>
      <c r="C312" t="s">
        <v>1313</v>
      </c>
      <c r="D312" t="s">
        <v>1502</v>
      </c>
      <c r="E312" s="9" t="s">
        <v>1508</v>
      </c>
      <c r="F312" s="9" t="s">
        <v>1513</v>
      </c>
      <c r="G312" s="7">
        <v>45682</v>
      </c>
      <c r="H312" s="5">
        <v>81</v>
      </c>
      <c r="I312" s="3">
        <v>0</v>
      </c>
      <c r="J312" t="s">
        <v>1516</v>
      </c>
      <c r="K312" t="s">
        <v>1524</v>
      </c>
      <c r="L312" t="s">
        <v>1525</v>
      </c>
      <c r="M312">
        <v>21</v>
      </c>
      <c r="N312" t="s">
        <v>1528</v>
      </c>
      <c r="O312">
        <f t="shared" si="24"/>
        <v>2025</v>
      </c>
      <c r="P312">
        <f t="shared" si="25"/>
        <v>1</v>
      </c>
      <c r="Q312" s="3">
        <f t="shared" si="26"/>
        <v>5.228526315789475</v>
      </c>
      <c r="R312">
        <f t="shared" si="27"/>
        <v>0</v>
      </c>
      <c r="S312" t="str">
        <f t="shared" si="28"/>
        <v>Normal</v>
      </c>
      <c r="U312" t="str">
        <f t="shared" si="29"/>
        <v>2025-01</v>
      </c>
    </row>
    <row r="313" spans="1:21" x14ac:dyDescent="0.35">
      <c r="A313" t="s">
        <v>325</v>
      </c>
      <c r="B313" t="s">
        <v>818</v>
      </c>
      <c r="C313" t="s">
        <v>1314</v>
      </c>
      <c r="D313" t="s">
        <v>1502</v>
      </c>
      <c r="E313" s="9" t="s">
        <v>1508</v>
      </c>
      <c r="F313" s="9" t="s">
        <v>1514</v>
      </c>
      <c r="G313" s="7">
        <v>45647</v>
      </c>
      <c r="H313" s="5">
        <v>13</v>
      </c>
      <c r="I313" s="3">
        <v>0</v>
      </c>
      <c r="J313" t="s">
        <v>1516</v>
      </c>
      <c r="K313" t="s">
        <v>1521</v>
      </c>
      <c r="L313" t="s">
        <v>1525</v>
      </c>
      <c r="M313">
        <v>12</v>
      </c>
      <c r="N313" t="s">
        <v>1528</v>
      </c>
      <c r="O313">
        <f t="shared" si="24"/>
        <v>2024</v>
      </c>
      <c r="P313">
        <f t="shared" si="25"/>
        <v>12</v>
      </c>
      <c r="Q313" s="3">
        <f t="shared" si="26"/>
        <v>5.2561904761904774</v>
      </c>
      <c r="R313">
        <f t="shared" si="27"/>
        <v>1</v>
      </c>
      <c r="S313" t="str">
        <f t="shared" si="28"/>
        <v>Normal</v>
      </c>
      <c r="U313" t="str">
        <f t="shared" si="29"/>
        <v>2024-12</v>
      </c>
    </row>
    <row r="314" spans="1:21" x14ac:dyDescent="0.35">
      <c r="A314" t="s">
        <v>326</v>
      </c>
      <c r="B314" t="s">
        <v>819</v>
      </c>
      <c r="C314" t="s">
        <v>1315</v>
      </c>
      <c r="D314" t="s">
        <v>1502</v>
      </c>
      <c r="E314" s="9" t="s">
        <v>1509</v>
      </c>
      <c r="F314" s="9" t="s">
        <v>1515</v>
      </c>
      <c r="G314" s="7">
        <v>45664</v>
      </c>
      <c r="H314" s="5">
        <v>85</v>
      </c>
      <c r="I314" s="3">
        <v>0</v>
      </c>
      <c r="J314" t="s">
        <v>1516</v>
      </c>
      <c r="K314" t="s">
        <v>1521</v>
      </c>
      <c r="L314" t="s">
        <v>1525</v>
      </c>
      <c r="M314">
        <v>28</v>
      </c>
      <c r="N314" t="s">
        <v>1528</v>
      </c>
      <c r="O314">
        <f t="shared" si="24"/>
        <v>2025</v>
      </c>
      <c r="P314">
        <f t="shared" si="25"/>
        <v>1</v>
      </c>
      <c r="Q314" s="3">
        <f t="shared" si="26"/>
        <v>5.2841489361702134</v>
      </c>
      <c r="R314">
        <f t="shared" si="27"/>
        <v>1</v>
      </c>
      <c r="S314" t="str">
        <f t="shared" si="28"/>
        <v>Normal</v>
      </c>
      <c r="U314" t="str">
        <f t="shared" si="29"/>
        <v>2025-01</v>
      </c>
    </row>
    <row r="315" spans="1:21" x14ac:dyDescent="0.35">
      <c r="A315" t="s">
        <v>327</v>
      </c>
      <c r="B315" t="s">
        <v>820</v>
      </c>
      <c r="C315" t="s">
        <v>1316</v>
      </c>
      <c r="D315" t="s">
        <v>1504</v>
      </c>
      <c r="E315" s="9" t="s">
        <v>1507</v>
      </c>
      <c r="F315" s="9" t="s">
        <v>1514</v>
      </c>
      <c r="G315" s="7">
        <v>45727</v>
      </c>
      <c r="H315" s="5">
        <v>158</v>
      </c>
      <c r="I315" s="3">
        <v>0</v>
      </c>
      <c r="J315" t="s">
        <v>1516</v>
      </c>
      <c r="K315" t="s">
        <v>1522</v>
      </c>
      <c r="L315" t="s">
        <v>1525</v>
      </c>
      <c r="M315">
        <v>22</v>
      </c>
      <c r="N315" t="s">
        <v>1527</v>
      </c>
      <c r="O315">
        <f t="shared" si="24"/>
        <v>2025</v>
      </c>
      <c r="P315">
        <f t="shared" si="25"/>
        <v>3</v>
      </c>
      <c r="Q315" s="3">
        <f t="shared" si="26"/>
        <v>5.3124064171123004</v>
      </c>
      <c r="R315">
        <f t="shared" si="27"/>
        <v>0</v>
      </c>
      <c r="S315" t="str">
        <f t="shared" si="28"/>
        <v>Normal</v>
      </c>
      <c r="U315" t="str">
        <f t="shared" si="29"/>
        <v>2025-03</v>
      </c>
    </row>
    <row r="316" spans="1:21" x14ac:dyDescent="0.35">
      <c r="A316" t="s">
        <v>328</v>
      </c>
      <c r="B316" t="s">
        <v>821</v>
      </c>
      <c r="C316" t="s">
        <v>1317</v>
      </c>
      <c r="D316" t="s">
        <v>1502</v>
      </c>
      <c r="E316" s="9" t="s">
        <v>1507</v>
      </c>
      <c r="F316" s="9" t="s">
        <v>1512</v>
      </c>
      <c r="G316" s="7">
        <v>45776</v>
      </c>
      <c r="H316" s="5">
        <v>140</v>
      </c>
      <c r="I316" s="3">
        <v>0</v>
      </c>
      <c r="J316" t="s">
        <v>1516</v>
      </c>
      <c r="K316" t="s">
        <v>1521</v>
      </c>
      <c r="L316" t="s">
        <v>1525</v>
      </c>
      <c r="M316">
        <v>1</v>
      </c>
      <c r="N316" t="s">
        <v>1528</v>
      </c>
      <c r="O316">
        <f t="shared" si="24"/>
        <v>2025</v>
      </c>
      <c r="P316">
        <f t="shared" si="25"/>
        <v>4</v>
      </c>
      <c r="Q316" s="3">
        <f t="shared" si="26"/>
        <v>5.3409677419354846</v>
      </c>
      <c r="R316">
        <f t="shared" si="27"/>
        <v>1</v>
      </c>
      <c r="S316" t="str">
        <f t="shared" si="28"/>
        <v>Normal</v>
      </c>
      <c r="U316" t="str">
        <f t="shared" si="29"/>
        <v>2025-04</v>
      </c>
    </row>
    <row r="317" spans="1:21" x14ac:dyDescent="0.35">
      <c r="A317" t="s">
        <v>329</v>
      </c>
      <c r="B317" t="s">
        <v>822</v>
      </c>
      <c r="C317" t="s">
        <v>1318</v>
      </c>
      <c r="D317" t="s">
        <v>1505</v>
      </c>
      <c r="E317" s="9" t="s">
        <v>1509</v>
      </c>
      <c r="F317" s="9" t="s">
        <v>1515</v>
      </c>
      <c r="G317" s="7">
        <v>45747</v>
      </c>
      <c r="H317" s="5">
        <v>179</v>
      </c>
      <c r="I317" s="3">
        <v>0</v>
      </c>
      <c r="J317" t="s">
        <v>1516</v>
      </c>
      <c r="K317" t="s">
        <v>1521</v>
      </c>
      <c r="L317" t="s">
        <v>1525</v>
      </c>
      <c r="M317">
        <v>5</v>
      </c>
      <c r="N317" t="s">
        <v>1527</v>
      </c>
      <c r="O317">
        <f t="shared" si="24"/>
        <v>2025</v>
      </c>
      <c r="P317">
        <f t="shared" si="25"/>
        <v>3</v>
      </c>
      <c r="Q317" s="3">
        <f t="shared" si="26"/>
        <v>5.3698378378378386</v>
      </c>
      <c r="R317">
        <f t="shared" si="27"/>
        <v>1</v>
      </c>
      <c r="S317" t="str">
        <f t="shared" si="28"/>
        <v>Suspicious</v>
      </c>
      <c r="U317" t="str">
        <f t="shared" si="29"/>
        <v>2025-03</v>
      </c>
    </row>
    <row r="318" spans="1:21" x14ac:dyDescent="0.35">
      <c r="A318" t="s">
        <v>330</v>
      </c>
      <c r="B318" t="s">
        <v>823</v>
      </c>
      <c r="C318" t="s">
        <v>1319</v>
      </c>
      <c r="D318" t="s">
        <v>1504</v>
      </c>
      <c r="E318" s="9" t="s">
        <v>1509</v>
      </c>
      <c r="F318" s="9" t="s">
        <v>1514</v>
      </c>
      <c r="G318" s="7">
        <v>45666</v>
      </c>
      <c r="H318" s="5">
        <v>73</v>
      </c>
      <c r="I318" s="3">
        <v>0</v>
      </c>
      <c r="J318" t="s">
        <v>1516</v>
      </c>
      <c r="K318" t="s">
        <v>1524</v>
      </c>
      <c r="L318" t="s">
        <v>1525</v>
      </c>
      <c r="M318">
        <v>15</v>
      </c>
      <c r="N318" t="s">
        <v>1528</v>
      </c>
      <c r="O318">
        <f t="shared" si="24"/>
        <v>2025</v>
      </c>
      <c r="P318">
        <f t="shared" si="25"/>
        <v>1</v>
      </c>
      <c r="Q318" s="3">
        <f t="shared" si="26"/>
        <v>5.3990217391304354</v>
      </c>
      <c r="R318">
        <f t="shared" si="27"/>
        <v>0</v>
      </c>
      <c r="S318" t="str">
        <f t="shared" si="28"/>
        <v>Normal</v>
      </c>
      <c r="U318" t="str">
        <f t="shared" si="29"/>
        <v>2025-01</v>
      </c>
    </row>
    <row r="319" spans="1:21" x14ac:dyDescent="0.35">
      <c r="A319" t="s">
        <v>331</v>
      </c>
      <c r="B319" t="s">
        <v>824</v>
      </c>
      <c r="C319" t="s">
        <v>1320</v>
      </c>
      <c r="D319" t="s">
        <v>1506</v>
      </c>
      <c r="E319" s="9" t="s">
        <v>1509</v>
      </c>
      <c r="F319" s="9" t="s">
        <v>1510</v>
      </c>
      <c r="G319" s="7">
        <v>45747</v>
      </c>
      <c r="H319" s="5">
        <v>83</v>
      </c>
      <c r="I319" s="3">
        <v>0</v>
      </c>
      <c r="J319" t="s">
        <v>1516</v>
      </c>
      <c r="K319" t="s">
        <v>1521</v>
      </c>
      <c r="L319" t="s">
        <v>1525</v>
      </c>
      <c r="M319">
        <v>1</v>
      </c>
      <c r="N319" t="s">
        <v>1528</v>
      </c>
      <c r="O319">
        <f t="shared" si="24"/>
        <v>2025</v>
      </c>
      <c r="P319">
        <f t="shared" si="25"/>
        <v>3</v>
      </c>
      <c r="Q319" s="3">
        <f t="shared" si="26"/>
        <v>5.4285245901639358</v>
      </c>
      <c r="R319">
        <f t="shared" si="27"/>
        <v>1</v>
      </c>
      <c r="S319" t="str">
        <f t="shared" si="28"/>
        <v>Normal</v>
      </c>
      <c r="U319" t="str">
        <f t="shared" si="29"/>
        <v>2025-03</v>
      </c>
    </row>
    <row r="320" spans="1:21" x14ac:dyDescent="0.35">
      <c r="A320" t="s">
        <v>332</v>
      </c>
      <c r="B320" t="s">
        <v>825</v>
      </c>
      <c r="C320" t="s">
        <v>1321</v>
      </c>
      <c r="D320" t="s">
        <v>1503</v>
      </c>
      <c r="E320" s="9" t="s">
        <v>1509</v>
      </c>
      <c r="F320" s="9" t="s">
        <v>1512</v>
      </c>
      <c r="G320" s="7">
        <v>45678</v>
      </c>
      <c r="H320" s="5">
        <v>152</v>
      </c>
      <c r="I320" s="3">
        <v>0</v>
      </c>
      <c r="J320" t="s">
        <v>1516</v>
      </c>
      <c r="K320" t="s">
        <v>1521</v>
      </c>
      <c r="L320" t="s">
        <v>1525</v>
      </c>
      <c r="M320">
        <v>31</v>
      </c>
      <c r="N320" t="s">
        <v>1527</v>
      </c>
      <c r="O320">
        <f t="shared" si="24"/>
        <v>2025</v>
      </c>
      <c r="P320">
        <f t="shared" si="25"/>
        <v>1</v>
      </c>
      <c r="Q320" s="3">
        <f t="shared" si="26"/>
        <v>5.4583516483516492</v>
      </c>
      <c r="R320">
        <f t="shared" si="27"/>
        <v>1</v>
      </c>
      <c r="S320" t="str">
        <f t="shared" si="28"/>
        <v>Normal</v>
      </c>
      <c r="U320" t="str">
        <f t="shared" si="29"/>
        <v>2025-01</v>
      </c>
    </row>
    <row r="321" spans="1:21" x14ac:dyDescent="0.35">
      <c r="A321" t="s">
        <v>333</v>
      </c>
      <c r="B321" t="s">
        <v>826</v>
      </c>
      <c r="C321" t="s">
        <v>1322</v>
      </c>
      <c r="D321" t="s">
        <v>1502</v>
      </c>
      <c r="E321" s="9" t="s">
        <v>1509</v>
      </c>
      <c r="F321" s="9" t="s">
        <v>1511</v>
      </c>
      <c r="G321" s="7">
        <v>45688</v>
      </c>
      <c r="H321" s="5">
        <v>156</v>
      </c>
      <c r="I321" s="3">
        <v>0</v>
      </c>
      <c r="J321" t="s">
        <v>1516</v>
      </c>
      <c r="K321" t="s">
        <v>1522</v>
      </c>
      <c r="L321" t="s">
        <v>1525</v>
      </c>
      <c r="M321">
        <v>14</v>
      </c>
      <c r="N321" t="s">
        <v>1527</v>
      </c>
      <c r="O321">
        <f t="shared" si="24"/>
        <v>2025</v>
      </c>
      <c r="P321">
        <f t="shared" si="25"/>
        <v>1</v>
      </c>
      <c r="Q321" s="3">
        <f t="shared" si="26"/>
        <v>5.4885082872928184</v>
      </c>
      <c r="R321">
        <f t="shared" si="27"/>
        <v>0</v>
      </c>
      <c r="S321" t="str">
        <f t="shared" si="28"/>
        <v>Normal</v>
      </c>
      <c r="U321" t="str">
        <f t="shared" si="29"/>
        <v>2025-01</v>
      </c>
    </row>
    <row r="322" spans="1:21" x14ac:dyDescent="0.35">
      <c r="A322" t="s">
        <v>334</v>
      </c>
      <c r="B322" t="s">
        <v>827</v>
      </c>
      <c r="C322" t="s">
        <v>1323</v>
      </c>
      <c r="D322" t="s">
        <v>1503</v>
      </c>
      <c r="E322" s="9" t="s">
        <v>1508</v>
      </c>
      <c r="F322" s="9" t="s">
        <v>1515</v>
      </c>
      <c r="G322" s="7">
        <v>45788</v>
      </c>
      <c r="H322" s="5">
        <v>33</v>
      </c>
      <c r="I322" s="3">
        <v>0</v>
      </c>
      <c r="J322" t="s">
        <v>1516</v>
      </c>
      <c r="K322" t="s">
        <v>1522</v>
      </c>
      <c r="L322" t="s">
        <v>1525</v>
      </c>
      <c r="M322">
        <v>7</v>
      </c>
      <c r="N322" t="s">
        <v>1528</v>
      </c>
      <c r="O322">
        <f t="shared" si="24"/>
        <v>2025</v>
      </c>
      <c r="P322">
        <f t="shared" si="25"/>
        <v>5</v>
      </c>
      <c r="Q322" s="3">
        <f t="shared" si="26"/>
        <v>5.519000000000001</v>
      </c>
      <c r="R322">
        <f t="shared" si="27"/>
        <v>0</v>
      </c>
      <c r="S322" t="str">
        <f t="shared" si="28"/>
        <v>Normal</v>
      </c>
      <c r="U322" t="str">
        <f t="shared" si="29"/>
        <v>2025-05</v>
      </c>
    </row>
    <row r="323" spans="1:21" x14ac:dyDescent="0.35">
      <c r="A323" t="s">
        <v>335</v>
      </c>
      <c r="B323" t="s">
        <v>828</v>
      </c>
      <c r="C323" t="s">
        <v>1324</v>
      </c>
      <c r="D323" t="s">
        <v>1502</v>
      </c>
      <c r="E323" s="9" t="s">
        <v>1509</v>
      </c>
      <c r="F323" s="9" t="s">
        <v>1514</v>
      </c>
      <c r="G323" s="7">
        <v>45678</v>
      </c>
      <c r="H323" s="5">
        <v>128</v>
      </c>
      <c r="I323" s="3">
        <v>0</v>
      </c>
      <c r="J323" t="s">
        <v>1516</v>
      </c>
      <c r="K323" t="s">
        <v>1521</v>
      </c>
      <c r="L323" t="s">
        <v>1525</v>
      </c>
      <c r="M323">
        <v>35</v>
      </c>
      <c r="N323" t="s">
        <v>1528</v>
      </c>
      <c r="O323">
        <f t="shared" ref="O323:O386" si="30">YEAR(G323)</f>
        <v>2025</v>
      </c>
      <c r="P323">
        <f t="shared" ref="P323:P386" si="31">MONTH(G323)</f>
        <v>1</v>
      </c>
      <c r="Q323" s="3">
        <f t="shared" ref="Q323:Q386" si="32">SUM(I323:I822)/COUNTA(B323:B822)</f>
        <v>5.5498324022346379</v>
      </c>
      <c r="R323">
        <f t="shared" ref="R323:R386" si="33">IF(K323="Completed",1,0)</f>
        <v>1</v>
      </c>
      <c r="S323" t="str">
        <f t="shared" ref="S323:S386" si="34">IF((H323&gt;$T$2),"Suspicious","Normal")</f>
        <v>Normal</v>
      </c>
      <c r="U323" t="str">
        <f t="shared" ref="U323:U386" si="35">TEXT(G323,"yyyy-mm")</f>
        <v>2025-01</v>
      </c>
    </row>
    <row r="324" spans="1:21" x14ac:dyDescent="0.35">
      <c r="A324" t="s">
        <v>336</v>
      </c>
      <c r="B324" t="s">
        <v>829</v>
      </c>
      <c r="C324" t="s">
        <v>1325</v>
      </c>
      <c r="D324" t="s">
        <v>1502</v>
      </c>
      <c r="E324" s="9" t="s">
        <v>1508</v>
      </c>
      <c r="F324" s="9" t="s">
        <v>1514</v>
      </c>
      <c r="G324" s="7">
        <v>45694</v>
      </c>
      <c r="H324" s="5">
        <v>58</v>
      </c>
      <c r="I324" s="3">
        <v>0</v>
      </c>
      <c r="J324" t="s">
        <v>1516</v>
      </c>
      <c r="K324" t="s">
        <v>1524</v>
      </c>
      <c r="L324" t="s">
        <v>1525</v>
      </c>
      <c r="M324">
        <v>15</v>
      </c>
      <c r="N324" t="s">
        <v>1528</v>
      </c>
      <c r="O324">
        <f t="shared" si="30"/>
        <v>2025</v>
      </c>
      <c r="P324">
        <f t="shared" si="31"/>
        <v>2</v>
      </c>
      <c r="Q324" s="3">
        <f t="shared" si="32"/>
        <v>5.5810112359550574</v>
      </c>
      <c r="R324">
        <f t="shared" si="33"/>
        <v>0</v>
      </c>
      <c r="S324" t="str">
        <f t="shared" si="34"/>
        <v>Normal</v>
      </c>
      <c r="U324" t="str">
        <f t="shared" si="35"/>
        <v>2025-02</v>
      </c>
    </row>
    <row r="325" spans="1:21" x14ac:dyDescent="0.35">
      <c r="A325" t="s">
        <v>337</v>
      </c>
      <c r="B325" t="s">
        <v>830</v>
      </c>
      <c r="C325" t="s">
        <v>1326</v>
      </c>
      <c r="D325" t="s">
        <v>1504</v>
      </c>
      <c r="E325" s="9" t="s">
        <v>1508</v>
      </c>
      <c r="F325" s="9" t="s">
        <v>1514</v>
      </c>
      <c r="G325" s="7">
        <v>45647</v>
      </c>
      <c r="H325" s="5">
        <v>77</v>
      </c>
      <c r="I325" s="3">
        <v>0</v>
      </c>
      <c r="J325" t="s">
        <v>1516</v>
      </c>
      <c r="K325" t="s">
        <v>1521</v>
      </c>
      <c r="L325" t="s">
        <v>1525</v>
      </c>
      <c r="M325">
        <v>11</v>
      </c>
      <c r="N325" t="s">
        <v>1528</v>
      </c>
      <c r="O325">
        <f t="shared" si="30"/>
        <v>2024</v>
      </c>
      <c r="P325">
        <f t="shared" si="31"/>
        <v>12</v>
      </c>
      <c r="Q325" s="3">
        <f t="shared" si="32"/>
        <v>5.6125423728813573</v>
      </c>
      <c r="R325">
        <f t="shared" si="33"/>
        <v>1</v>
      </c>
      <c r="S325" t="str">
        <f t="shared" si="34"/>
        <v>Normal</v>
      </c>
      <c r="U325" t="str">
        <f t="shared" si="35"/>
        <v>2024-12</v>
      </c>
    </row>
    <row r="326" spans="1:21" x14ac:dyDescent="0.35">
      <c r="A326" t="s">
        <v>338</v>
      </c>
      <c r="B326" t="s">
        <v>831</v>
      </c>
      <c r="C326" t="s">
        <v>1327</v>
      </c>
      <c r="D326" t="s">
        <v>1505</v>
      </c>
      <c r="E326" s="9" t="s">
        <v>1507</v>
      </c>
      <c r="F326" s="9" t="s">
        <v>1514</v>
      </c>
      <c r="G326" s="7">
        <v>45641</v>
      </c>
      <c r="H326" s="5">
        <v>175</v>
      </c>
      <c r="I326" s="3">
        <v>0</v>
      </c>
      <c r="J326" t="s">
        <v>1516</v>
      </c>
      <c r="K326" t="s">
        <v>1522</v>
      </c>
      <c r="L326" t="s">
        <v>1526</v>
      </c>
      <c r="M326">
        <v>10</v>
      </c>
      <c r="N326" t="s">
        <v>1527</v>
      </c>
      <c r="O326">
        <f t="shared" si="30"/>
        <v>2024</v>
      </c>
      <c r="P326">
        <f t="shared" si="31"/>
        <v>12</v>
      </c>
      <c r="Q326" s="3">
        <f t="shared" si="32"/>
        <v>5.6444318181818192</v>
      </c>
      <c r="R326">
        <f t="shared" si="33"/>
        <v>0</v>
      </c>
      <c r="S326" t="str">
        <f t="shared" si="34"/>
        <v>Suspicious</v>
      </c>
      <c r="U326" t="str">
        <f t="shared" si="35"/>
        <v>2024-12</v>
      </c>
    </row>
    <row r="327" spans="1:21" x14ac:dyDescent="0.35">
      <c r="A327" t="s">
        <v>339</v>
      </c>
      <c r="B327" t="s">
        <v>832</v>
      </c>
      <c r="C327" t="s">
        <v>1328</v>
      </c>
      <c r="D327" t="s">
        <v>1505</v>
      </c>
      <c r="E327" s="9" t="s">
        <v>1509</v>
      </c>
      <c r="F327" s="9" t="s">
        <v>1512</v>
      </c>
      <c r="G327" s="7">
        <v>45727</v>
      </c>
      <c r="H327" s="5">
        <v>90</v>
      </c>
      <c r="I327" s="3">
        <v>0</v>
      </c>
      <c r="J327" t="s">
        <v>1516</v>
      </c>
      <c r="K327" t="s">
        <v>1521</v>
      </c>
      <c r="L327" t="s">
        <v>1525</v>
      </c>
      <c r="M327">
        <v>50</v>
      </c>
      <c r="N327" t="s">
        <v>1528</v>
      </c>
      <c r="O327">
        <f t="shared" si="30"/>
        <v>2025</v>
      </c>
      <c r="P327">
        <f t="shared" si="31"/>
        <v>3</v>
      </c>
      <c r="Q327" s="3">
        <f t="shared" si="32"/>
        <v>5.676685714285715</v>
      </c>
      <c r="R327">
        <f t="shared" si="33"/>
        <v>1</v>
      </c>
      <c r="S327" t="str">
        <f t="shared" si="34"/>
        <v>Normal</v>
      </c>
      <c r="U327" t="str">
        <f t="shared" si="35"/>
        <v>2025-03</v>
      </c>
    </row>
    <row r="328" spans="1:21" x14ac:dyDescent="0.35">
      <c r="A328" t="s">
        <v>340</v>
      </c>
      <c r="B328" t="s">
        <v>833</v>
      </c>
      <c r="C328" t="s">
        <v>1329</v>
      </c>
      <c r="D328" t="s">
        <v>1506</v>
      </c>
      <c r="E328" s="9" t="s">
        <v>1508</v>
      </c>
      <c r="F328" s="9" t="s">
        <v>1511</v>
      </c>
      <c r="G328" s="7">
        <v>45793</v>
      </c>
      <c r="H328" s="5">
        <v>142</v>
      </c>
      <c r="I328" s="3">
        <v>0</v>
      </c>
      <c r="J328" t="s">
        <v>1516</v>
      </c>
      <c r="K328" t="s">
        <v>1524</v>
      </c>
      <c r="L328" t="s">
        <v>1525</v>
      </c>
      <c r="M328">
        <v>49</v>
      </c>
      <c r="N328" t="s">
        <v>1528</v>
      </c>
      <c r="O328">
        <f t="shared" si="30"/>
        <v>2025</v>
      </c>
      <c r="P328">
        <f t="shared" si="31"/>
        <v>5</v>
      </c>
      <c r="Q328" s="3">
        <f t="shared" si="32"/>
        <v>5.7093103448275873</v>
      </c>
      <c r="R328">
        <f t="shared" si="33"/>
        <v>0</v>
      </c>
      <c r="S328" t="str">
        <f t="shared" si="34"/>
        <v>Normal</v>
      </c>
      <c r="U328" t="str">
        <f t="shared" si="35"/>
        <v>2025-05</v>
      </c>
    </row>
    <row r="329" spans="1:21" x14ac:dyDescent="0.35">
      <c r="A329" t="s">
        <v>341</v>
      </c>
      <c r="B329" t="s">
        <v>834</v>
      </c>
      <c r="C329" t="s">
        <v>1330</v>
      </c>
      <c r="D329" t="s">
        <v>1503</v>
      </c>
      <c r="E329" s="9" t="s">
        <v>1509</v>
      </c>
      <c r="F329" s="9" t="s">
        <v>1515</v>
      </c>
      <c r="G329" s="7">
        <v>45801</v>
      </c>
      <c r="H329" s="5">
        <v>102</v>
      </c>
      <c r="I329" s="3">
        <v>0</v>
      </c>
      <c r="J329" t="s">
        <v>1516</v>
      </c>
      <c r="K329" t="s">
        <v>1521</v>
      </c>
      <c r="L329" t="s">
        <v>1526</v>
      </c>
      <c r="M329">
        <v>44</v>
      </c>
      <c r="N329" t="s">
        <v>1528</v>
      </c>
      <c r="O329">
        <f t="shared" si="30"/>
        <v>2025</v>
      </c>
      <c r="P329">
        <f t="shared" si="31"/>
        <v>5</v>
      </c>
      <c r="Q329" s="3">
        <f t="shared" si="32"/>
        <v>5.7423121387283249</v>
      </c>
      <c r="R329">
        <f t="shared" si="33"/>
        <v>1</v>
      </c>
      <c r="S329" t="str">
        <f t="shared" si="34"/>
        <v>Normal</v>
      </c>
      <c r="U329" t="str">
        <f t="shared" si="35"/>
        <v>2025-05</v>
      </c>
    </row>
    <row r="330" spans="1:21" x14ac:dyDescent="0.35">
      <c r="A330" t="s">
        <v>342</v>
      </c>
      <c r="B330" t="s">
        <v>835</v>
      </c>
      <c r="C330" t="s">
        <v>1331</v>
      </c>
      <c r="D330" t="s">
        <v>1502</v>
      </c>
      <c r="E330" s="9" t="s">
        <v>1508</v>
      </c>
      <c r="F330" s="9" t="s">
        <v>1512</v>
      </c>
      <c r="G330" s="7">
        <v>45737</v>
      </c>
      <c r="H330" s="5">
        <v>47</v>
      </c>
      <c r="I330" s="3">
        <v>0</v>
      </c>
      <c r="J330" t="s">
        <v>1516</v>
      </c>
      <c r="K330" t="s">
        <v>1521</v>
      </c>
      <c r="L330" t="s">
        <v>1526</v>
      </c>
      <c r="M330">
        <v>49</v>
      </c>
      <c r="N330" t="s">
        <v>1528</v>
      </c>
      <c r="O330">
        <f t="shared" si="30"/>
        <v>2025</v>
      </c>
      <c r="P330">
        <f t="shared" si="31"/>
        <v>3</v>
      </c>
      <c r="Q330" s="3">
        <f t="shared" si="32"/>
        <v>5.7756976744186055</v>
      </c>
      <c r="R330">
        <f t="shared" si="33"/>
        <v>1</v>
      </c>
      <c r="S330" t="str">
        <f t="shared" si="34"/>
        <v>Normal</v>
      </c>
      <c r="U330" t="str">
        <f t="shared" si="35"/>
        <v>2025-03</v>
      </c>
    </row>
    <row r="331" spans="1:21" x14ac:dyDescent="0.35">
      <c r="A331" t="s">
        <v>343</v>
      </c>
      <c r="B331" t="s">
        <v>836</v>
      </c>
      <c r="C331" t="s">
        <v>1332</v>
      </c>
      <c r="D331" t="s">
        <v>1502</v>
      </c>
      <c r="E331" s="9" t="s">
        <v>1507</v>
      </c>
      <c r="F331" s="9" t="s">
        <v>1511</v>
      </c>
      <c r="G331" s="7">
        <v>45799</v>
      </c>
      <c r="H331" s="5">
        <v>100</v>
      </c>
      <c r="I331" s="3">
        <v>0</v>
      </c>
      <c r="J331" t="s">
        <v>1516</v>
      </c>
      <c r="K331" t="s">
        <v>1521</v>
      </c>
      <c r="L331" t="s">
        <v>1525</v>
      </c>
      <c r="M331">
        <v>25</v>
      </c>
      <c r="N331" t="s">
        <v>1528</v>
      </c>
      <c r="O331">
        <f t="shared" si="30"/>
        <v>2025</v>
      </c>
      <c r="P331">
        <f t="shared" si="31"/>
        <v>5</v>
      </c>
      <c r="Q331" s="3">
        <f t="shared" si="32"/>
        <v>5.809473684210527</v>
      </c>
      <c r="R331">
        <f t="shared" si="33"/>
        <v>1</v>
      </c>
      <c r="S331" t="str">
        <f t="shared" si="34"/>
        <v>Normal</v>
      </c>
      <c r="U331" t="str">
        <f t="shared" si="35"/>
        <v>2025-05</v>
      </c>
    </row>
    <row r="332" spans="1:21" x14ac:dyDescent="0.35">
      <c r="A332" t="s">
        <v>344</v>
      </c>
      <c r="B332" t="s">
        <v>837</v>
      </c>
      <c r="C332" t="s">
        <v>1333</v>
      </c>
      <c r="D332" t="s">
        <v>1502</v>
      </c>
      <c r="E332" s="9" t="s">
        <v>1509</v>
      </c>
      <c r="F332" s="9" t="s">
        <v>1514</v>
      </c>
      <c r="G332" s="7">
        <v>45702</v>
      </c>
      <c r="H332" s="5">
        <v>30</v>
      </c>
      <c r="I332" s="3">
        <v>36.799999999999997</v>
      </c>
      <c r="J332" t="s">
        <v>1520</v>
      </c>
      <c r="K332" t="s">
        <v>1523</v>
      </c>
      <c r="L332" t="s">
        <v>1526</v>
      </c>
      <c r="M332">
        <v>24</v>
      </c>
      <c r="N332" t="s">
        <v>1528</v>
      </c>
      <c r="O332">
        <f t="shared" si="30"/>
        <v>2025</v>
      </c>
      <c r="P332">
        <f t="shared" si="31"/>
        <v>2</v>
      </c>
      <c r="Q332" s="3">
        <f t="shared" si="32"/>
        <v>5.8436470588235307</v>
      </c>
      <c r="R332">
        <f t="shared" si="33"/>
        <v>0</v>
      </c>
      <c r="S332" t="str">
        <f t="shared" si="34"/>
        <v>Normal</v>
      </c>
      <c r="U332" t="str">
        <f t="shared" si="35"/>
        <v>2025-02</v>
      </c>
    </row>
    <row r="333" spans="1:21" x14ac:dyDescent="0.35">
      <c r="A333" t="s">
        <v>345</v>
      </c>
      <c r="B333" t="s">
        <v>838</v>
      </c>
      <c r="C333" t="s">
        <v>1334</v>
      </c>
      <c r="D333" t="s">
        <v>1504</v>
      </c>
      <c r="E333" s="9" t="s">
        <v>1507</v>
      </c>
      <c r="F333" s="9" t="s">
        <v>1510</v>
      </c>
      <c r="G333" s="7">
        <v>45734</v>
      </c>
      <c r="H333" s="5">
        <v>180</v>
      </c>
      <c r="I333" s="3">
        <v>0</v>
      </c>
      <c r="J333" t="s">
        <v>1516</v>
      </c>
      <c r="K333" t="s">
        <v>1521</v>
      </c>
      <c r="L333" t="s">
        <v>1525</v>
      </c>
      <c r="M333">
        <v>18</v>
      </c>
      <c r="N333" t="s">
        <v>1527</v>
      </c>
      <c r="O333">
        <f t="shared" si="30"/>
        <v>2025</v>
      </c>
      <c r="P333">
        <f t="shared" si="31"/>
        <v>3</v>
      </c>
      <c r="Q333" s="3">
        <f t="shared" si="32"/>
        <v>5.6604733727810652</v>
      </c>
      <c r="R333">
        <f t="shared" si="33"/>
        <v>1</v>
      </c>
      <c r="S333" t="str">
        <f t="shared" si="34"/>
        <v>Suspicious</v>
      </c>
      <c r="U333" t="str">
        <f t="shared" si="35"/>
        <v>2025-03</v>
      </c>
    </row>
    <row r="334" spans="1:21" x14ac:dyDescent="0.35">
      <c r="A334" t="s">
        <v>346</v>
      </c>
      <c r="B334" t="s">
        <v>839</v>
      </c>
      <c r="C334" t="s">
        <v>1335</v>
      </c>
      <c r="D334" t="s">
        <v>1506</v>
      </c>
      <c r="E334" s="9" t="s">
        <v>1507</v>
      </c>
      <c r="F334" s="9" t="s">
        <v>1512</v>
      </c>
      <c r="G334" s="7">
        <v>45657</v>
      </c>
      <c r="H334" s="5">
        <v>18</v>
      </c>
      <c r="I334" s="3">
        <v>36.07</v>
      </c>
      <c r="J334" t="s">
        <v>1519</v>
      </c>
      <c r="K334" t="s">
        <v>1521</v>
      </c>
      <c r="L334" t="s">
        <v>1526</v>
      </c>
      <c r="M334">
        <v>4</v>
      </c>
      <c r="N334" t="s">
        <v>1528</v>
      </c>
      <c r="O334">
        <f t="shared" si="30"/>
        <v>2024</v>
      </c>
      <c r="P334">
        <f t="shared" si="31"/>
        <v>12</v>
      </c>
      <c r="Q334" s="3">
        <f t="shared" si="32"/>
        <v>5.6941666666666668</v>
      </c>
      <c r="R334">
        <f t="shared" si="33"/>
        <v>1</v>
      </c>
      <c r="S334" t="str">
        <f t="shared" si="34"/>
        <v>Normal</v>
      </c>
      <c r="U334" t="str">
        <f t="shared" si="35"/>
        <v>2024-12</v>
      </c>
    </row>
    <row r="335" spans="1:21" x14ac:dyDescent="0.35">
      <c r="A335" t="s">
        <v>347</v>
      </c>
      <c r="B335" t="s">
        <v>840</v>
      </c>
      <c r="C335" t="s">
        <v>1336</v>
      </c>
      <c r="D335" t="s">
        <v>1502</v>
      </c>
      <c r="E335" s="9" t="s">
        <v>1507</v>
      </c>
      <c r="F335" s="9" t="s">
        <v>1511</v>
      </c>
      <c r="G335" s="7">
        <v>45676</v>
      </c>
      <c r="H335" s="5">
        <v>5</v>
      </c>
      <c r="I335" s="3">
        <v>14.86</v>
      </c>
      <c r="J335" t="s">
        <v>1519</v>
      </c>
      <c r="K335" t="s">
        <v>1524</v>
      </c>
      <c r="L335" t="s">
        <v>1526</v>
      </c>
      <c r="M335">
        <v>23</v>
      </c>
      <c r="N335" t="s">
        <v>1528</v>
      </c>
      <c r="O335">
        <f t="shared" si="30"/>
        <v>2025</v>
      </c>
      <c r="P335">
        <f t="shared" si="31"/>
        <v>1</v>
      </c>
      <c r="Q335" s="3">
        <f t="shared" si="32"/>
        <v>5.5122754491017965</v>
      </c>
      <c r="R335">
        <f t="shared" si="33"/>
        <v>0</v>
      </c>
      <c r="S335" t="str">
        <f t="shared" si="34"/>
        <v>Normal</v>
      </c>
      <c r="U335" t="str">
        <f t="shared" si="35"/>
        <v>2025-01</v>
      </c>
    </row>
    <row r="336" spans="1:21" x14ac:dyDescent="0.35">
      <c r="A336" t="s">
        <v>348</v>
      </c>
      <c r="B336" t="s">
        <v>841</v>
      </c>
      <c r="C336" t="s">
        <v>1337</v>
      </c>
      <c r="D336" t="s">
        <v>1506</v>
      </c>
      <c r="E336" s="9" t="s">
        <v>1509</v>
      </c>
      <c r="F336" s="9" t="s">
        <v>1510</v>
      </c>
      <c r="G336" s="7">
        <v>45665</v>
      </c>
      <c r="H336" s="5">
        <v>159</v>
      </c>
      <c r="I336" s="3">
        <v>0</v>
      </c>
      <c r="J336" t="s">
        <v>1516</v>
      </c>
      <c r="K336" t="s">
        <v>1521</v>
      </c>
      <c r="L336" t="s">
        <v>1525</v>
      </c>
      <c r="M336">
        <v>20</v>
      </c>
      <c r="N336" t="s">
        <v>1527</v>
      </c>
      <c r="O336">
        <f t="shared" si="30"/>
        <v>2025</v>
      </c>
      <c r="P336">
        <f t="shared" si="31"/>
        <v>1</v>
      </c>
      <c r="Q336" s="3">
        <f t="shared" si="32"/>
        <v>5.455963855421686</v>
      </c>
      <c r="R336">
        <f t="shared" si="33"/>
        <v>1</v>
      </c>
      <c r="S336" t="str">
        <f t="shared" si="34"/>
        <v>Normal</v>
      </c>
      <c r="U336" t="str">
        <f t="shared" si="35"/>
        <v>2025-01</v>
      </c>
    </row>
    <row r="337" spans="1:21" x14ac:dyDescent="0.35">
      <c r="A337" t="s">
        <v>349</v>
      </c>
      <c r="B337" t="s">
        <v>842</v>
      </c>
      <c r="C337" t="s">
        <v>1338</v>
      </c>
      <c r="D337" t="s">
        <v>1506</v>
      </c>
      <c r="E337" s="9" t="s">
        <v>1509</v>
      </c>
      <c r="F337" s="9" t="s">
        <v>1510</v>
      </c>
      <c r="G337" s="7">
        <v>45732</v>
      </c>
      <c r="H337" s="5">
        <v>161</v>
      </c>
      <c r="I337" s="3">
        <v>45.73</v>
      </c>
      <c r="J337" t="s">
        <v>1517</v>
      </c>
      <c r="K337" t="s">
        <v>1521</v>
      </c>
      <c r="L337" t="s">
        <v>1526</v>
      </c>
      <c r="M337">
        <v>4</v>
      </c>
      <c r="N337" t="s">
        <v>1527</v>
      </c>
      <c r="O337">
        <f t="shared" si="30"/>
        <v>2025</v>
      </c>
      <c r="P337">
        <f t="shared" si="31"/>
        <v>3</v>
      </c>
      <c r="Q337" s="3">
        <f t="shared" si="32"/>
        <v>5.4890303030303027</v>
      </c>
      <c r="R337">
        <f t="shared" si="33"/>
        <v>1</v>
      </c>
      <c r="S337" t="str">
        <f t="shared" si="34"/>
        <v>Normal</v>
      </c>
      <c r="U337" t="str">
        <f t="shared" si="35"/>
        <v>2025-03</v>
      </c>
    </row>
    <row r="338" spans="1:21" x14ac:dyDescent="0.35">
      <c r="A338" t="s">
        <v>350</v>
      </c>
      <c r="B338" t="s">
        <v>843</v>
      </c>
      <c r="C338" t="s">
        <v>1339</v>
      </c>
      <c r="D338" t="s">
        <v>1503</v>
      </c>
      <c r="E338" s="9" t="s">
        <v>1507</v>
      </c>
      <c r="F338" s="9" t="s">
        <v>1510</v>
      </c>
      <c r="G338" s="7">
        <v>45723</v>
      </c>
      <c r="H338" s="5">
        <v>13</v>
      </c>
      <c r="I338" s="3">
        <v>0</v>
      </c>
      <c r="J338" t="s">
        <v>1516</v>
      </c>
      <c r="K338" t="s">
        <v>1523</v>
      </c>
      <c r="L338" t="s">
        <v>1525</v>
      </c>
      <c r="M338">
        <v>49</v>
      </c>
      <c r="N338" t="s">
        <v>1528</v>
      </c>
      <c r="O338">
        <f t="shared" si="30"/>
        <v>2025</v>
      </c>
      <c r="P338">
        <f t="shared" si="31"/>
        <v>3</v>
      </c>
      <c r="Q338" s="3">
        <f t="shared" si="32"/>
        <v>5.2436585365853672</v>
      </c>
      <c r="R338">
        <f t="shared" si="33"/>
        <v>0</v>
      </c>
      <c r="S338" t="str">
        <f t="shared" si="34"/>
        <v>Normal</v>
      </c>
      <c r="U338" t="str">
        <f t="shared" si="35"/>
        <v>2025-03</v>
      </c>
    </row>
    <row r="339" spans="1:21" x14ac:dyDescent="0.35">
      <c r="A339" t="s">
        <v>351</v>
      </c>
      <c r="B339" t="s">
        <v>844</v>
      </c>
      <c r="C339" t="s">
        <v>1340</v>
      </c>
      <c r="D339" t="s">
        <v>1504</v>
      </c>
      <c r="E339" s="9" t="s">
        <v>1509</v>
      </c>
      <c r="F339" s="9" t="s">
        <v>1514</v>
      </c>
      <c r="G339" s="7">
        <v>45759</v>
      </c>
      <c r="H339" s="5">
        <v>110</v>
      </c>
      <c r="I339" s="3">
        <v>0</v>
      </c>
      <c r="J339" t="s">
        <v>1516</v>
      </c>
      <c r="K339" t="s">
        <v>1521</v>
      </c>
      <c r="L339" t="s">
        <v>1525</v>
      </c>
      <c r="M339">
        <v>40</v>
      </c>
      <c r="N339" t="s">
        <v>1528</v>
      </c>
      <c r="O339">
        <f t="shared" si="30"/>
        <v>2025</v>
      </c>
      <c r="P339">
        <f t="shared" si="31"/>
        <v>4</v>
      </c>
      <c r="Q339" s="3">
        <f t="shared" si="32"/>
        <v>5.2758282208588962</v>
      </c>
      <c r="R339">
        <f t="shared" si="33"/>
        <v>1</v>
      </c>
      <c r="S339" t="str">
        <f t="shared" si="34"/>
        <v>Normal</v>
      </c>
      <c r="U339" t="str">
        <f t="shared" si="35"/>
        <v>2025-04</v>
      </c>
    </row>
    <row r="340" spans="1:21" x14ac:dyDescent="0.35">
      <c r="A340" t="s">
        <v>352</v>
      </c>
      <c r="B340" t="s">
        <v>845</v>
      </c>
      <c r="C340" t="s">
        <v>1341</v>
      </c>
      <c r="D340" t="s">
        <v>1506</v>
      </c>
      <c r="E340" s="9" t="s">
        <v>1509</v>
      </c>
      <c r="F340" s="9" t="s">
        <v>1515</v>
      </c>
      <c r="G340" s="7">
        <v>45703</v>
      </c>
      <c r="H340" s="5">
        <v>22</v>
      </c>
      <c r="I340" s="3">
        <v>0</v>
      </c>
      <c r="J340" t="s">
        <v>1516</v>
      </c>
      <c r="K340" t="s">
        <v>1521</v>
      </c>
      <c r="L340" t="s">
        <v>1525</v>
      </c>
      <c r="M340">
        <v>34</v>
      </c>
      <c r="N340" t="s">
        <v>1528</v>
      </c>
      <c r="O340">
        <f t="shared" si="30"/>
        <v>2025</v>
      </c>
      <c r="P340">
        <f t="shared" si="31"/>
        <v>2</v>
      </c>
      <c r="Q340" s="3">
        <f t="shared" si="32"/>
        <v>5.3083950617283957</v>
      </c>
      <c r="R340">
        <f t="shared" si="33"/>
        <v>1</v>
      </c>
      <c r="S340" t="str">
        <f t="shared" si="34"/>
        <v>Normal</v>
      </c>
      <c r="U340" t="str">
        <f t="shared" si="35"/>
        <v>2025-02</v>
      </c>
    </row>
    <row r="341" spans="1:21" x14ac:dyDescent="0.35">
      <c r="A341" t="s">
        <v>353</v>
      </c>
      <c r="B341" t="s">
        <v>846</v>
      </c>
      <c r="C341" t="s">
        <v>1342</v>
      </c>
      <c r="D341" t="s">
        <v>1503</v>
      </c>
      <c r="E341" s="9" t="s">
        <v>1507</v>
      </c>
      <c r="F341" s="9" t="s">
        <v>1514</v>
      </c>
      <c r="G341" s="7">
        <v>45789</v>
      </c>
      <c r="H341" s="5">
        <v>168</v>
      </c>
      <c r="I341" s="3">
        <v>33.729999999999997</v>
      </c>
      <c r="J341" t="s">
        <v>1519</v>
      </c>
      <c r="K341" t="s">
        <v>1521</v>
      </c>
      <c r="L341" t="s">
        <v>1526</v>
      </c>
      <c r="M341">
        <v>48</v>
      </c>
      <c r="N341" t="s">
        <v>1527</v>
      </c>
      <c r="O341">
        <f t="shared" si="30"/>
        <v>2025</v>
      </c>
      <c r="P341">
        <f t="shared" si="31"/>
        <v>5</v>
      </c>
      <c r="Q341" s="3">
        <f t="shared" si="32"/>
        <v>5.3413664596273298</v>
      </c>
      <c r="R341">
        <f t="shared" si="33"/>
        <v>1</v>
      </c>
      <c r="S341" t="str">
        <f t="shared" si="34"/>
        <v>Normal</v>
      </c>
      <c r="U341" t="str">
        <f t="shared" si="35"/>
        <v>2025-05</v>
      </c>
    </row>
    <row r="342" spans="1:21" x14ac:dyDescent="0.35">
      <c r="A342" t="s">
        <v>354</v>
      </c>
      <c r="B342" t="s">
        <v>847</v>
      </c>
      <c r="C342" t="s">
        <v>1343</v>
      </c>
      <c r="D342" t="s">
        <v>1504</v>
      </c>
      <c r="E342" s="9" t="s">
        <v>1509</v>
      </c>
      <c r="F342" s="9" t="s">
        <v>1511</v>
      </c>
      <c r="G342" s="7">
        <v>45668</v>
      </c>
      <c r="H342" s="5">
        <v>24</v>
      </c>
      <c r="I342" s="3">
        <v>0</v>
      </c>
      <c r="J342" t="s">
        <v>1516</v>
      </c>
      <c r="K342" t="s">
        <v>1521</v>
      </c>
      <c r="L342" t="s">
        <v>1525</v>
      </c>
      <c r="M342">
        <v>41</v>
      </c>
      <c r="N342" t="s">
        <v>1528</v>
      </c>
      <c r="O342">
        <f t="shared" si="30"/>
        <v>2025</v>
      </c>
      <c r="P342">
        <f t="shared" si="31"/>
        <v>1</v>
      </c>
      <c r="Q342" s="3">
        <f t="shared" si="32"/>
        <v>5.1639375000000012</v>
      </c>
      <c r="R342">
        <f t="shared" si="33"/>
        <v>1</v>
      </c>
      <c r="S342" t="str">
        <f t="shared" si="34"/>
        <v>Normal</v>
      </c>
      <c r="U342" t="str">
        <f t="shared" si="35"/>
        <v>2025-01</v>
      </c>
    </row>
    <row r="343" spans="1:21" x14ac:dyDescent="0.35">
      <c r="A343" t="s">
        <v>355</v>
      </c>
      <c r="B343" t="s">
        <v>848</v>
      </c>
      <c r="C343" t="s">
        <v>1344</v>
      </c>
      <c r="D343" t="s">
        <v>1505</v>
      </c>
      <c r="E343" s="9" t="s">
        <v>1508</v>
      </c>
      <c r="F343" s="9" t="s">
        <v>1510</v>
      </c>
      <c r="G343" s="7">
        <v>45655</v>
      </c>
      <c r="H343" s="5">
        <v>166</v>
      </c>
      <c r="I343" s="3">
        <v>0</v>
      </c>
      <c r="J343" t="s">
        <v>1516</v>
      </c>
      <c r="K343" t="s">
        <v>1524</v>
      </c>
      <c r="L343" t="s">
        <v>1525</v>
      </c>
      <c r="M343">
        <v>30</v>
      </c>
      <c r="N343" t="s">
        <v>1527</v>
      </c>
      <c r="O343">
        <f t="shared" si="30"/>
        <v>2024</v>
      </c>
      <c r="P343">
        <f t="shared" si="31"/>
        <v>12</v>
      </c>
      <c r="Q343" s="3">
        <f t="shared" si="32"/>
        <v>5.1964150943396232</v>
      </c>
      <c r="R343">
        <f t="shared" si="33"/>
        <v>0</v>
      </c>
      <c r="S343" t="str">
        <f t="shared" si="34"/>
        <v>Normal</v>
      </c>
      <c r="U343" t="str">
        <f t="shared" si="35"/>
        <v>2024-12</v>
      </c>
    </row>
    <row r="344" spans="1:21" x14ac:dyDescent="0.35">
      <c r="A344" t="s">
        <v>356</v>
      </c>
      <c r="B344" t="s">
        <v>849</v>
      </c>
      <c r="C344" t="s">
        <v>1345</v>
      </c>
      <c r="D344" t="s">
        <v>1506</v>
      </c>
      <c r="E344" s="9" t="s">
        <v>1509</v>
      </c>
      <c r="F344" s="9" t="s">
        <v>1510</v>
      </c>
      <c r="G344" s="7">
        <v>45756</v>
      </c>
      <c r="H344" s="5">
        <v>42</v>
      </c>
      <c r="I344" s="3">
        <v>0</v>
      </c>
      <c r="J344" t="s">
        <v>1516</v>
      </c>
      <c r="K344" t="s">
        <v>1521</v>
      </c>
      <c r="L344" t="s">
        <v>1526</v>
      </c>
      <c r="M344">
        <v>12</v>
      </c>
      <c r="N344" t="s">
        <v>1528</v>
      </c>
      <c r="O344">
        <f t="shared" si="30"/>
        <v>2025</v>
      </c>
      <c r="P344">
        <f t="shared" si="31"/>
        <v>4</v>
      </c>
      <c r="Q344" s="3">
        <f t="shared" si="32"/>
        <v>5.2293037974683552</v>
      </c>
      <c r="R344">
        <f t="shared" si="33"/>
        <v>1</v>
      </c>
      <c r="S344" t="str">
        <f t="shared" si="34"/>
        <v>Normal</v>
      </c>
      <c r="U344" t="str">
        <f t="shared" si="35"/>
        <v>2025-04</v>
      </c>
    </row>
    <row r="345" spans="1:21" x14ac:dyDescent="0.35">
      <c r="A345" t="s">
        <v>357</v>
      </c>
      <c r="B345" t="s">
        <v>850</v>
      </c>
      <c r="C345" t="s">
        <v>1346</v>
      </c>
      <c r="D345" t="s">
        <v>1506</v>
      </c>
      <c r="E345" s="9" t="s">
        <v>1509</v>
      </c>
      <c r="F345" s="9" t="s">
        <v>1514</v>
      </c>
      <c r="G345" s="7">
        <v>45780</v>
      </c>
      <c r="H345" s="5">
        <v>39</v>
      </c>
      <c r="I345" s="3">
        <v>0</v>
      </c>
      <c r="J345" t="s">
        <v>1516</v>
      </c>
      <c r="K345" t="s">
        <v>1521</v>
      </c>
      <c r="L345" t="s">
        <v>1525</v>
      </c>
      <c r="M345">
        <v>49</v>
      </c>
      <c r="N345" t="s">
        <v>1528</v>
      </c>
      <c r="O345">
        <f t="shared" si="30"/>
        <v>2025</v>
      </c>
      <c r="P345">
        <f t="shared" si="31"/>
        <v>5</v>
      </c>
      <c r="Q345" s="3">
        <f t="shared" si="32"/>
        <v>5.2626114649681535</v>
      </c>
      <c r="R345">
        <f t="shared" si="33"/>
        <v>1</v>
      </c>
      <c r="S345" t="str">
        <f t="shared" si="34"/>
        <v>Normal</v>
      </c>
      <c r="U345" t="str">
        <f t="shared" si="35"/>
        <v>2025-05</v>
      </c>
    </row>
    <row r="346" spans="1:21" x14ac:dyDescent="0.35">
      <c r="A346" t="s">
        <v>358</v>
      </c>
      <c r="B346" t="s">
        <v>851</v>
      </c>
      <c r="C346" t="s">
        <v>1347</v>
      </c>
      <c r="D346" t="s">
        <v>1505</v>
      </c>
      <c r="E346" s="9" t="s">
        <v>1508</v>
      </c>
      <c r="F346" s="9" t="s">
        <v>1513</v>
      </c>
      <c r="G346" s="7">
        <v>45766</v>
      </c>
      <c r="H346" s="5">
        <v>91</v>
      </c>
      <c r="I346" s="3">
        <v>13.08</v>
      </c>
      <c r="J346" t="s">
        <v>1520</v>
      </c>
      <c r="K346" t="s">
        <v>1521</v>
      </c>
      <c r="L346" t="s">
        <v>1526</v>
      </c>
      <c r="M346">
        <v>17</v>
      </c>
      <c r="N346" t="s">
        <v>1528</v>
      </c>
      <c r="O346">
        <f t="shared" si="30"/>
        <v>2025</v>
      </c>
      <c r="P346">
        <f t="shared" si="31"/>
        <v>4</v>
      </c>
      <c r="Q346" s="3">
        <f t="shared" si="32"/>
        <v>5.2963461538461543</v>
      </c>
      <c r="R346">
        <f t="shared" si="33"/>
        <v>1</v>
      </c>
      <c r="S346" t="str">
        <f t="shared" si="34"/>
        <v>Normal</v>
      </c>
      <c r="U346" t="str">
        <f t="shared" si="35"/>
        <v>2025-04</v>
      </c>
    </row>
    <row r="347" spans="1:21" x14ac:dyDescent="0.35">
      <c r="A347" t="s">
        <v>359</v>
      </c>
      <c r="B347" t="s">
        <v>852</v>
      </c>
      <c r="C347" t="s">
        <v>1348</v>
      </c>
      <c r="D347" t="s">
        <v>1503</v>
      </c>
      <c r="E347" s="9" t="s">
        <v>1508</v>
      </c>
      <c r="F347" s="9" t="s">
        <v>1511</v>
      </c>
      <c r="G347" s="7">
        <v>45782</v>
      </c>
      <c r="H347" s="5">
        <v>30</v>
      </c>
      <c r="I347" s="3">
        <v>0</v>
      </c>
      <c r="J347" t="s">
        <v>1516</v>
      </c>
      <c r="K347" t="s">
        <v>1524</v>
      </c>
      <c r="L347" t="s">
        <v>1525</v>
      </c>
      <c r="M347">
        <v>42</v>
      </c>
      <c r="N347" t="s">
        <v>1528</v>
      </c>
      <c r="O347">
        <f t="shared" si="30"/>
        <v>2025</v>
      </c>
      <c r="P347">
        <f t="shared" si="31"/>
        <v>5</v>
      </c>
      <c r="Q347" s="3">
        <f t="shared" si="32"/>
        <v>5.2461290322580645</v>
      </c>
      <c r="R347">
        <f t="shared" si="33"/>
        <v>0</v>
      </c>
      <c r="S347" t="str">
        <f t="shared" si="34"/>
        <v>Normal</v>
      </c>
      <c r="U347" t="str">
        <f t="shared" si="35"/>
        <v>2025-05</v>
      </c>
    </row>
    <row r="348" spans="1:21" x14ac:dyDescent="0.35">
      <c r="A348" t="s">
        <v>360</v>
      </c>
      <c r="B348" t="s">
        <v>853</v>
      </c>
      <c r="C348" t="s">
        <v>1349</v>
      </c>
      <c r="D348" t="s">
        <v>1502</v>
      </c>
      <c r="E348" s="9" t="s">
        <v>1508</v>
      </c>
      <c r="F348" s="9" t="s">
        <v>1513</v>
      </c>
      <c r="G348" s="7">
        <v>45639</v>
      </c>
      <c r="H348" s="5">
        <v>44</v>
      </c>
      <c r="I348" s="3">
        <v>0</v>
      </c>
      <c r="J348" t="s">
        <v>1516</v>
      </c>
      <c r="K348" t="s">
        <v>1521</v>
      </c>
      <c r="L348" t="s">
        <v>1525</v>
      </c>
      <c r="M348">
        <v>19</v>
      </c>
      <c r="N348" t="s">
        <v>1528</v>
      </c>
      <c r="O348">
        <f t="shared" si="30"/>
        <v>2024</v>
      </c>
      <c r="P348">
        <f t="shared" si="31"/>
        <v>12</v>
      </c>
      <c r="Q348" s="3">
        <f t="shared" si="32"/>
        <v>5.2801948051948049</v>
      </c>
      <c r="R348">
        <f t="shared" si="33"/>
        <v>1</v>
      </c>
      <c r="S348" t="str">
        <f t="shared" si="34"/>
        <v>Normal</v>
      </c>
      <c r="U348" t="str">
        <f t="shared" si="35"/>
        <v>2024-12</v>
      </c>
    </row>
    <row r="349" spans="1:21" x14ac:dyDescent="0.35">
      <c r="A349" t="s">
        <v>361</v>
      </c>
      <c r="B349" t="s">
        <v>854</v>
      </c>
      <c r="C349" t="s">
        <v>1350</v>
      </c>
      <c r="D349" t="s">
        <v>1503</v>
      </c>
      <c r="E349" s="9" t="s">
        <v>1509</v>
      </c>
      <c r="F349" s="9" t="s">
        <v>1515</v>
      </c>
      <c r="G349" s="7">
        <v>45730</v>
      </c>
      <c r="H349" s="5">
        <v>57</v>
      </c>
      <c r="I349" s="3">
        <v>0</v>
      </c>
      <c r="J349" t="s">
        <v>1516</v>
      </c>
      <c r="K349" t="s">
        <v>1521</v>
      </c>
      <c r="L349" t="s">
        <v>1526</v>
      </c>
      <c r="M349">
        <v>29</v>
      </c>
      <c r="N349" t="s">
        <v>1528</v>
      </c>
      <c r="O349">
        <f t="shared" si="30"/>
        <v>2025</v>
      </c>
      <c r="P349">
        <f t="shared" si="31"/>
        <v>3</v>
      </c>
      <c r="Q349" s="3">
        <f t="shared" si="32"/>
        <v>5.3147058823529409</v>
      </c>
      <c r="R349">
        <f t="shared" si="33"/>
        <v>1</v>
      </c>
      <c r="S349" t="str">
        <f t="shared" si="34"/>
        <v>Normal</v>
      </c>
      <c r="U349" t="str">
        <f t="shared" si="35"/>
        <v>2025-03</v>
      </c>
    </row>
    <row r="350" spans="1:21" x14ac:dyDescent="0.35">
      <c r="A350" t="s">
        <v>362</v>
      </c>
      <c r="B350" t="s">
        <v>855</v>
      </c>
      <c r="C350" t="s">
        <v>1351</v>
      </c>
      <c r="D350" t="s">
        <v>1502</v>
      </c>
      <c r="E350" s="9" t="s">
        <v>1507</v>
      </c>
      <c r="F350" s="9" t="s">
        <v>1514</v>
      </c>
      <c r="G350" s="7">
        <v>45807</v>
      </c>
      <c r="H350" s="5">
        <v>165</v>
      </c>
      <c r="I350" s="3">
        <v>0</v>
      </c>
      <c r="J350" t="s">
        <v>1516</v>
      </c>
      <c r="K350" t="s">
        <v>1521</v>
      </c>
      <c r="L350" t="s">
        <v>1525</v>
      </c>
      <c r="M350">
        <v>15</v>
      </c>
      <c r="N350" t="s">
        <v>1527</v>
      </c>
      <c r="O350">
        <f t="shared" si="30"/>
        <v>2025</v>
      </c>
      <c r="P350">
        <f t="shared" si="31"/>
        <v>5</v>
      </c>
      <c r="Q350" s="3">
        <f t="shared" si="32"/>
        <v>5.3496710526315789</v>
      </c>
      <c r="R350">
        <f t="shared" si="33"/>
        <v>1</v>
      </c>
      <c r="S350" t="str">
        <f t="shared" si="34"/>
        <v>Normal</v>
      </c>
      <c r="U350" t="str">
        <f t="shared" si="35"/>
        <v>2025-05</v>
      </c>
    </row>
    <row r="351" spans="1:21" x14ac:dyDescent="0.35">
      <c r="A351" t="s">
        <v>363</v>
      </c>
      <c r="B351" t="s">
        <v>856</v>
      </c>
      <c r="C351" t="s">
        <v>1352</v>
      </c>
      <c r="D351" t="s">
        <v>1504</v>
      </c>
      <c r="E351" s="9" t="s">
        <v>1507</v>
      </c>
      <c r="F351" s="9" t="s">
        <v>1510</v>
      </c>
      <c r="G351" s="7">
        <v>45712</v>
      </c>
      <c r="H351" s="5">
        <v>22</v>
      </c>
      <c r="I351" s="3">
        <v>0</v>
      </c>
      <c r="J351" t="s">
        <v>1516</v>
      </c>
      <c r="K351" t="s">
        <v>1521</v>
      </c>
      <c r="L351" t="s">
        <v>1525</v>
      </c>
      <c r="M351">
        <v>22</v>
      </c>
      <c r="N351" t="s">
        <v>1528</v>
      </c>
      <c r="O351">
        <f t="shared" si="30"/>
        <v>2025</v>
      </c>
      <c r="P351">
        <f t="shared" si="31"/>
        <v>2</v>
      </c>
      <c r="Q351" s="3">
        <f t="shared" si="32"/>
        <v>5.3850993377483443</v>
      </c>
      <c r="R351">
        <f t="shared" si="33"/>
        <v>1</v>
      </c>
      <c r="S351" t="str">
        <f t="shared" si="34"/>
        <v>Normal</v>
      </c>
      <c r="U351" t="str">
        <f t="shared" si="35"/>
        <v>2025-02</v>
      </c>
    </row>
    <row r="352" spans="1:21" x14ac:dyDescent="0.35">
      <c r="A352" t="s">
        <v>364</v>
      </c>
      <c r="B352" t="s">
        <v>857</v>
      </c>
      <c r="C352" t="s">
        <v>1353</v>
      </c>
      <c r="D352" t="s">
        <v>1504</v>
      </c>
      <c r="E352" s="9" t="s">
        <v>1507</v>
      </c>
      <c r="F352" s="9" t="s">
        <v>1515</v>
      </c>
      <c r="G352" s="7">
        <v>45696</v>
      </c>
      <c r="H352" s="5">
        <v>21</v>
      </c>
      <c r="I352" s="3">
        <v>0</v>
      </c>
      <c r="J352" t="s">
        <v>1516</v>
      </c>
      <c r="K352" t="s">
        <v>1521</v>
      </c>
      <c r="L352" t="s">
        <v>1525</v>
      </c>
      <c r="M352">
        <v>46</v>
      </c>
      <c r="N352" t="s">
        <v>1528</v>
      </c>
      <c r="O352">
        <f t="shared" si="30"/>
        <v>2025</v>
      </c>
      <c r="P352">
        <f t="shared" si="31"/>
        <v>2</v>
      </c>
      <c r="Q352" s="3">
        <f t="shared" si="32"/>
        <v>5.4210000000000003</v>
      </c>
      <c r="R352">
        <f t="shared" si="33"/>
        <v>1</v>
      </c>
      <c r="S352" t="str">
        <f t="shared" si="34"/>
        <v>Normal</v>
      </c>
      <c r="U352" t="str">
        <f t="shared" si="35"/>
        <v>2025-02</v>
      </c>
    </row>
    <row r="353" spans="1:21" x14ac:dyDescent="0.35">
      <c r="A353" t="s">
        <v>365</v>
      </c>
      <c r="B353" t="s">
        <v>858</v>
      </c>
      <c r="C353" t="s">
        <v>1354</v>
      </c>
      <c r="D353" t="s">
        <v>1503</v>
      </c>
      <c r="E353" s="9" t="s">
        <v>1508</v>
      </c>
      <c r="F353" s="9" t="s">
        <v>1513</v>
      </c>
      <c r="G353" s="7">
        <v>45731</v>
      </c>
      <c r="H353" s="5">
        <v>127</v>
      </c>
      <c r="I353" s="3">
        <v>0</v>
      </c>
      <c r="J353" t="s">
        <v>1516</v>
      </c>
      <c r="K353" t="s">
        <v>1521</v>
      </c>
      <c r="L353" t="s">
        <v>1525</v>
      </c>
      <c r="M353">
        <v>13</v>
      </c>
      <c r="N353" t="s">
        <v>1528</v>
      </c>
      <c r="O353">
        <f t="shared" si="30"/>
        <v>2025</v>
      </c>
      <c r="P353">
        <f t="shared" si="31"/>
        <v>3</v>
      </c>
      <c r="Q353" s="3">
        <f t="shared" si="32"/>
        <v>5.45738255033557</v>
      </c>
      <c r="R353">
        <f t="shared" si="33"/>
        <v>1</v>
      </c>
      <c r="S353" t="str">
        <f t="shared" si="34"/>
        <v>Normal</v>
      </c>
      <c r="U353" t="str">
        <f t="shared" si="35"/>
        <v>2025-03</v>
      </c>
    </row>
    <row r="354" spans="1:21" x14ac:dyDescent="0.35">
      <c r="A354" t="s">
        <v>366</v>
      </c>
      <c r="B354" t="s">
        <v>859</v>
      </c>
      <c r="C354" t="s">
        <v>1355</v>
      </c>
      <c r="D354" t="s">
        <v>1505</v>
      </c>
      <c r="E354" s="9" t="s">
        <v>1508</v>
      </c>
      <c r="F354" s="9" t="s">
        <v>1515</v>
      </c>
      <c r="G354" s="7">
        <v>45711</v>
      </c>
      <c r="H354" s="5">
        <v>21</v>
      </c>
      <c r="I354" s="3">
        <v>0</v>
      </c>
      <c r="J354" t="s">
        <v>1516</v>
      </c>
      <c r="K354" t="s">
        <v>1521</v>
      </c>
      <c r="L354" t="s">
        <v>1525</v>
      </c>
      <c r="M354">
        <v>2</v>
      </c>
      <c r="N354" t="s">
        <v>1528</v>
      </c>
      <c r="O354">
        <f t="shared" si="30"/>
        <v>2025</v>
      </c>
      <c r="P354">
        <f t="shared" si="31"/>
        <v>2</v>
      </c>
      <c r="Q354" s="3">
        <f t="shared" si="32"/>
        <v>5.4942567567567568</v>
      </c>
      <c r="R354">
        <f t="shared" si="33"/>
        <v>1</v>
      </c>
      <c r="S354" t="str">
        <f t="shared" si="34"/>
        <v>Normal</v>
      </c>
      <c r="U354" t="str">
        <f t="shared" si="35"/>
        <v>2025-02</v>
      </c>
    </row>
    <row r="355" spans="1:21" x14ac:dyDescent="0.35">
      <c r="A355" t="s">
        <v>367</v>
      </c>
      <c r="B355" t="s">
        <v>860</v>
      </c>
      <c r="C355" t="s">
        <v>1356</v>
      </c>
      <c r="D355" t="s">
        <v>1506</v>
      </c>
      <c r="E355" s="9" t="s">
        <v>1507</v>
      </c>
      <c r="F355" s="9" t="s">
        <v>1514</v>
      </c>
      <c r="G355" s="7">
        <v>45717</v>
      </c>
      <c r="H355" s="5">
        <v>136</v>
      </c>
      <c r="I355" s="3">
        <v>0</v>
      </c>
      <c r="J355" t="s">
        <v>1516</v>
      </c>
      <c r="K355" t="s">
        <v>1521</v>
      </c>
      <c r="L355" t="s">
        <v>1525</v>
      </c>
      <c r="M355">
        <v>50</v>
      </c>
      <c r="N355" t="s">
        <v>1528</v>
      </c>
      <c r="O355">
        <f t="shared" si="30"/>
        <v>2025</v>
      </c>
      <c r="P355">
        <f t="shared" si="31"/>
        <v>3</v>
      </c>
      <c r="Q355" s="3">
        <f t="shared" si="32"/>
        <v>5.5316326530612248</v>
      </c>
      <c r="R355">
        <f t="shared" si="33"/>
        <v>1</v>
      </c>
      <c r="S355" t="str">
        <f t="shared" si="34"/>
        <v>Normal</v>
      </c>
      <c r="U355" t="str">
        <f t="shared" si="35"/>
        <v>2025-03</v>
      </c>
    </row>
    <row r="356" spans="1:21" x14ac:dyDescent="0.35">
      <c r="A356" t="s">
        <v>368</v>
      </c>
      <c r="B356" t="s">
        <v>861</v>
      </c>
      <c r="C356" t="s">
        <v>1357</v>
      </c>
      <c r="D356" t="s">
        <v>1503</v>
      </c>
      <c r="E356" s="9" t="s">
        <v>1507</v>
      </c>
      <c r="F356" s="9" t="s">
        <v>1514</v>
      </c>
      <c r="G356" s="7">
        <v>45770</v>
      </c>
      <c r="H356" s="5">
        <v>41</v>
      </c>
      <c r="I356" s="3">
        <v>0</v>
      </c>
      <c r="J356" t="s">
        <v>1516</v>
      </c>
      <c r="K356" t="s">
        <v>1521</v>
      </c>
      <c r="L356" t="s">
        <v>1525</v>
      </c>
      <c r="M356">
        <v>27</v>
      </c>
      <c r="N356" t="s">
        <v>1528</v>
      </c>
      <c r="O356">
        <f t="shared" si="30"/>
        <v>2025</v>
      </c>
      <c r="P356">
        <f t="shared" si="31"/>
        <v>4</v>
      </c>
      <c r="Q356" s="3">
        <f t="shared" si="32"/>
        <v>5.5695205479452055</v>
      </c>
      <c r="R356">
        <f t="shared" si="33"/>
        <v>1</v>
      </c>
      <c r="S356" t="str">
        <f t="shared" si="34"/>
        <v>Normal</v>
      </c>
      <c r="U356" t="str">
        <f t="shared" si="35"/>
        <v>2025-04</v>
      </c>
    </row>
    <row r="357" spans="1:21" x14ac:dyDescent="0.35">
      <c r="A357" t="s">
        <v>369</v>
      </c>
      <c r="B357" t="s">
        <v>862</v>
      </c>
      <c r="C357" t="s">
        <v>1358</v>
      </c>
      <c r="D357" t="s">
        <v>1502</v>
      </c>
      <c r="E357" s="9" t="s">
        <v>1508</v>
      </c>
      <c r="F357" s="9" t="s">
        <v>1511</v>
      </c>
      <c r="G357" s="7">
        <v>45798</v>
      </c>
      <c r="H357" s="5">
        <v>104</v>
      </c>
      <c r="I357" s="3">
        <v>0</v>
      </c>
      <c r="J357" t="s">
        <v>1516</v>
      </c>
      <c r="K357" t="s">
        <v>1521</v>
      </c>
      <c r="L357" t="s">
        <v>1525</v>
      </c>
      <c r="M357">
        <v>14</v>
      </c>
      <c r="N357" t="s">
        <v>1528</v>
      </c>
      <c r="O357">
        <f t="shared" si="30"/>
        <v>2025</v>
      </c>
      <c r="P357">
        <f t="shared" si="31"/>
        <v>5</v>
      </c>
      <c r="Q357" s="3">
        <f t="shared" si="32"/>
        <v>5.6079310344827586</v>
      </c>
      <c r="R357">
        <f t="shared" si="33"/>
        <v>1</v>
      </c>
      <c r="S357" t="str">
        <f t="shared" si="34"/>
        <v>Normal</v>
      </c>
      <c r="U357" t="str">
        <f t="shared" si="35"/>
        <v>2025-05</v>
      </c>
    </row>
    <row r="358" spans="1:21" x14ac:dyDescent="0.35">
      <c r="A358" t="s">
        <v>370</v>
      </c>
      <c r="B358" t="s">
        <v>863</v>
      </c>
      <c r="C358" t="s">
        <v>1359</v>
      </c>
      <c r="D358" t="s">
        <v>1503</v>
      </c>
      <c r="E358" s="9" t="s">
        <v>1507</v>
      </c>
      <c r="F358" s="9" t="s">
        <v>1511</v>
      </c>
      <c r="G358" s="7">
        <v>45689</v>
      </c>
      <c r="H358" s="5">
        <v>84</v>
      </c>
      <c r="I358" s="3">
        <v>23.18</v>
      </c>
      <c r="J358" t="s">
        <v>1518</v>
      </c>
      <c r="K358" t="s">
        <v>1521</v>
      </c>
      <c r="L358" t="s">
        <v>1526</v>
      </c>
      <c r="M358">
        <v>2</v>
      </c>
      <c r="N358" t="s">
        <v>1528</v>
      </c>
      <c r="O358">
        <f t="shared" si="30"/>
        <v>2025</v>
      </c>
      <c r="P358">
        <f t="shared" si="31"/>
        <v>2</v>
      </c>
      <c r="Q358" s="3">
        <f t="shared" si="32"/>
        <v>5.6468749999999996</v>
      </c>
      <c r="R358">
        <f t="shared" si="33"/>
        <v>1</v>
      </c>
      <c r="S358" t="str">
        <f t="shared" si="34"/>
        <v>Normal</v>
      </c>
      <c r="U358" t="str">
        <f t="shared" si="35"/>
        <v>2025-02</v>
      </c>
    </row>
    <row r="359" spans="1:21" x14ac:dyDescent="0.35">
      <c r="A359" t="s">
        <v>371</v>
      </c>
      <c r="B359" t="s">
        <v>864</v>
      </c>
      <c r="C359" t="s">
        <v>1360</v>
      </c>
      <c r="D359" t="s">
        <v>1506</v>
      </c>
      <c r="E359" s="9" t="s">
        <v>1509</v>
      </c>
      <c r="F359" s="9" t="s">
        <v>1514</v>
      </c>
      <c r="G359" s="7">
        <v>45801</v>
      </c>
      <c r="H359" s="5">
        <v>71</v>
      </c>
      <c r="I359" s="3">
        <v>0</v>
      </c>
      <c r="J359" t="s">
        <v>1516</v>
      </c>
      <c r="K359" t="s">
        <v>1521</v>
      </c>
      <c r="L359" t="s">
        <v>1526</v>
      </c>
      <c r="M359">
        <v>5</v>
      </c>
      <c r="N359" t="s">
        <v>1528</v>
      </c>
      <c r="O359">
        <f t="shared" si="30"/>
        <v>2025</v>
      </c>
      <c r="P359">
        <f t="shared" si="31"/>
        <v>5</v>
      </c>
      <c r="Q359" s="3">
        <f t="shared" si="32"/>
        <v>5.5242657342657351</v>
      </c>
      <c r="R359">
        <f t="shared" si="33"/>
        <v>1</v>
      </c>
      <c r="S359" t="str">
        <f t="shared" si="34"/>
        <v>Normal</v>
      </c>
      <c r="U359" t="str">
        <f t="shared" si="35"/>
        <v>2025-05</v>
      </c>
    </row>
    <row r="360" spans="1:21" x14ac:dyDescent="0.35">
      <c r="A360" t="s">
        <v>372</v>
      </c>
      <c r="B360" t="s">
        <v>865</v>
      </c>
      <c r="C360" t="s">
        <v>1361</v>
      </c>
      <c r="D360" t="s">
        <v>1503</v>
      </c>
      <c r="E360" s="9" t="s">
        <v>1507</v>
      </c>
      <c r="F360" s="9" t="s">
        <v>1511</v>
      </c>
      <c r="G360" s="7">
        <v>45690</v>
      </c>
      <c r="H360" s="5">
        <v>63</v>
      </c>
      <c r="I360" s="3">
        <v>0</v>
      </c>
      <c r="J360" t="s">
        <v>1516</v>
      </c>
      <c r="K360" t="s">
        <v>1522</v>
      </c>
      <c r="L360" t="s">
        <v>1525</v>
      </c>
      <c r="M360">
        <v>4</v>
      </c>
      <c r="N360" t="s">
        <v>1528</v>
      </c>
      <c r="O360">
        <f t="shared" si="30"/>
        <v>2025</v>
      </c>
      <c r="P360">
        <f t="shared" si="31"/>
        <v>2</v>
      </c>
      <c r="Q360" s="3">
        <f t="shared" si="32"/>
        <v>5.563169014084508</v>
      </c>
      <c r="R360">
        <f t="shared" si="33"/>
        <v>0</v>
      </c>
      <c r="S360" t="str">
        <f t="shared" si="34"/>
        <v>Normal</v>
      </c>
      <c r="U360" t="str">
        <f t="shared" si="35"/>
        <v>2025-02</v>
      </c>
    </row>
    <row r="361" spans="1:21" x14ac:dyDescent="0.35">
      <c r="A361" t="s">
        <v>373</v>
      </c>
      <c r="B361" t="s">
        <v>866</v>
      </c>
      <c r="C361" t="s">
        <v>1362</v>
      </c>
      <c r="D361" t="s">
        <v>1504</v>
      </c>
      <c r="E361" s="9" t="s">
        <v>1507</v>
      </c>
      <c r="F361" s="9" t="s">
        <v>1514</v>
      </c>
      <c r="G361" s="7">
        <v>45783</v>
      </c>
      <c r="H361" s="5">
        <v>63</v>
      </c>
      <c r="I361" s="3">
        <v>0</v>
      </c>
      <c r="J361" t="s">
        <v>1516</v>
      </c>
      <c r="K361" t="s">
        <v>1521</v>
      </c>
      <c r="L361" t="s">
        <v>1525</v>
      </c>
      <c r="M361">
        <v>15</v>
      </c>
      <c r="N361" t="s">
        <v>1528</v>
      </c>
      <c r="O361">
        <f t="shared" si="30"/>
        <v>2025</v>
      </c>
      <c r="P361">
        <f t="shared" si="31"/>
        <v>5</v>
      </c>
      <c r="Q361" s="3">
        <f t="shared" si="32"/>
        <v>5.6026241134751782</v>
      </c>
      <c r="R361">
        <f t="shared" si="33"/>
        <v>1</v>
      </c>
      <c r="S361" t="str">
        <f t="shared" si="34"/>
        <v>Normal</v>
      </c>
      <c r="U361" t="str">
        <f t="shared" si="35"/>
        <v>2025-05</v>
      </c>
    </row>
    <row r="362" spans="1:21" x14ac:dyDescent="0.35">
      <c r="A362" t="s">
        <v>374</v>
      </c>
      <c r="B362" t="s">
        <v>867</v>
      </c>
      <c r="C362" t="s">
        <v>1363</v>
      </c>
      <c r="D362" t="s">
        <v>1503</v>
      </c>
      <c r="E362" s="9" t="s">
        <v>1508</v>
      </c>
      <c r="F362" s="9" t="s">
        <v>1512</v>
      </c>
      <c r="G362" s="7">
        <v>45817</v>
      </c>
      <c r="H362" s="5">
        <v>18</v>
      </c>
      <c r="I362" s="3">
        <v>0</v>
      </c>
      <c r="J362" t="s">
        <v>1516</v>
      </c>
      <c r="K362" t="s">
        <v>1521</v>
      </c>
      <c r="L362" t="s">
        <v>1525</v>
      </c>
      <c r="M362">
        <v>16</v>
      </c>
      <c r="N362" t="s">
        <v>1528</v>
      </c>
      <c r="O362">
        <f t="shared" si="30"/>
        <v>2025</v>
      </c>
      <c r="P362">
        <f t="shared" si="31"/>
        <v>6</v>
      </c>
      <c r="Q362" s="3">
        <f t="shared" si="32"/>
        <v>5.6426428571428584</v>
      </c>
      <c r="R362">
        <f t="shared" si="33"/>
        <v>1</v>
      </c>
      <c r="S362" t="str">
        <f t="shared" si="34"/>
        <v>Normal</v>
      </c>
      <c r="U362" t="str">
        <f t="shared" si="35"/>
        <v>2025-06</v>
      </c>
    </row>
    <row r="363" spans="1:21" x14ac:dyDescent="0.35">
      <c r="A363" t="s">
        <v>375</v>
      </c>
      <c r="B363" t="s">
        <v>868</v>
      </c>
      <c r="C363" t="s">
        <v>1364</v>
      </c>
      <c r="D363" t="s">
        <v>1504</v>
      </c>
      <c r="E363" s="9" t="s">
        <v>1508</v>
      </c>
      <c r="F363" s="9" t="s">
        <v>1511</v>
      </c>
      <c r="G363" s="7">
        <v>45819</v>
      </c>
      <c r="H363" s="5">
        <v>73</v>
      </c>
      <c r="I363" s="3">
        <v>0</v>
      </c>
      <c r="J363" t="s">
        <v>1516</v>
      </c>
      <c r="K363" t="s">
        <v>1521</v>
      </c>
      <c r="L363" t="s">
        <v>1525</v>
      </c>
      <c r="M363">
        <v>11</v>
      </c>
      <c r="N363" t="s">
        <v>1528</v>
      </c>
      <c r="O363">
        <f t="shared" si="30"/>
        <v>2025</v>
      </c>
      <c r="P363">
        <f t="shared" si="31"/>
        <v>6</v>
      </c>
      <c r="Q363" s="3">
        <f t="shared" si="32"/>
        <v>5.6832374100719436</v>
      </c>
      <c r="R363">
        <f t="shared" si="33"/>
        <v>1</v>
      </c>
      <c r="S363" t="str">
        <f t="shared" si="34"/>
        <v>Normal</v>
      </c>
      <c r="U363" t="str">
        <f t="shared" si="35"/>
        <v>2025-06</v>
      </c>
    </row>
    <row r="364" spans="1:21" x14ac:dyDescent="0.35">
      <c r="A364" t="s">
        <v>376</v>
      </c>
      <c r="B364" t="s">
        <v>869</v>
      </c>
      <c r="C364" t="s">
        <v>1365</v>
      </c>
      <c r="D364" t="s">
        <v>1504</v>
      </c>
      <c r="E364" s="9" t="s">
        <v>1507</v>
      </c>
      <c r="F364" s="9" t="s">
        <v>1515</v>
      </c>
      <c r="G364" s="7">
        <v>45671</v>
      </c>
      <c r="H364" s="5">
        <v>102</v>
      </c>
      <c r="I364" s="3">
        <v>0</v>
      </c>
      <c r="J364" t="s">
        <v>1516</v>
      </c>
      <c r="K364" t="s">
        <v>1521</v>
      </c>
      <c r="L364" t="s">
        <v>1525</v>
      </c>
      <c r="M364">
        <v>2</v>
      </c>
      <c r="N364" t="s">
        <v>1528</v>
      </c>
      <c r="O364">
        <f t="shared" si="30"/>
        <v>2025</v>
      </c>
      <c r="P364">
        <f t="shared" si="31"/>
        <v>1</v>
      </c>
      <c r="Q364" s="3">
        <f t="shared" si="32"/>
        <v>5.7244202898550736</v>
      </c>
      <c r="R364">
        <f t="shared" si="33"/>
        <v>1</v>
      </c>
      <c r="S364" t="str">
        <f t="shared" si="34"/>
        <v>Normal</v>
      </c>
      <c r="U364" t="str">
        <f t="shared" si="35"/>
        <v>2025-01</v>
      </c>
    </row>
    <row r="365" spans="1:21" x14ac:dyDescent="0.35">
      <c r="A365" t="s">
        <v>377</v>
      </c>
      <c r="B365" t="s">
        <v>870</v>
      </c>
      <c r="C365" t="s">
        <v>1366</v>
      </c>
      <c r="D365" t="s">
        <v>1505</v>
      </c>
      <c r="E365" s="9" t="s">
        <v>1507</v>
      </c>
      <c r="F365" s="9" t="s">
        <v>1514</v>
      </c>
      <c r="G365" s="7">
        <v>45669</v>
      </c>
      <c r="H365" s="5">
        <v>91</v>
      </c>
      <c r="I365" s="3">
        <v>0</v>
      </c>
      <c r="J365" t="s">
        <v>1516</v>
      </c>
      <c r="K365" t="s">
        <v>1521</v>
      </c>
      <c r="L365" t="s">
        <v>1525</v>
      </c>
      <c r="M365">
        <v>31</v>
      </c>
      <c r="N365" t="s">
        <v>1528</v>
      </c>
      <c r="O365">
        <f t="shared" si="30"/>
        <v>2025</v>
      </c>
      <c r="P365">
        <f t="shared" si="31"/>
        <v>1</v>
      </c>
      <c r="Q365" s="3">
        <f t="shared" si="32"/>
        <v>5.766204379562045</v>
      </c>
      <c r="R365">
        <f t="shared" si="33"/>
        <v>1</v>
      </c>
      <c r="S365" t="str">
        <f t="shared" si="34"/>
        <v>Normal</v>
      </c>
      <c r="U365" t="str">
        <f t="shared" si="35"/>
        <v>2025-01</v>
      </c>
    </row>
    <row r="366" spans="1:21" x14ac:dyDescent="0.35">
      <c r="A366" t="s">
        <v>378</v>
      </c>
      <c r="B366" t="s">
        <v>871</v>
      </c>
      <c r="C366" t="s">
        <v>1367</v>
      </c>
      <c r="D366" t="s">
        <v>1504</v>
      </c>
      <c r="E366" s="9" t="s">
        <v>1508</v>
      </c>
      <c r="F366" s="9" t="s">
        <v>1514</v>
      </c>
      <c r="G366" s="7">
        <v>45763</v>
      </c>
      <c r="H366" s="5">
        <v>73</v>
      </c>
      <c r="I366" s="3">
        <v>0</v>
      </c>
      <c r="J366" t="s">
        <v>1516</v>
      </c>
      <c r="K366" t="s">
        <v>1524</v>
      </c>
      <c r="L366" t="s">
        <v>1525</v>
      </c>
      <c r="M366">
        <v>32</v>
      </c>
      <c r="N366" t="s">
        <v>1528</v>
      </c>
      <c r="O366">
        <f t="shared" si="30"/>
        <v>2025</v>
      </c>
      <c r="P366">
        <f t="shared" si="31"/>
        <v>4</v>
      </c>
      <c r="Q366" s="3">
        <f t="shared" si="32"/>
        <v>5.8086029411764715</v>
      </c>
      <c r="R366">
        <f t="shared" si="33"/>
        <v>0</v>
      </c>
      <c r="S366" t="str">
        <f t="shared" si="34"/>
        <v>Normal</v>
      </c>
      <c r="U366" t="str">
        <f t="shared" si="35"/>
        <v>2025-04</v>
      </c>
    </row>
    <row r="367" spans="1:21" x14ac:dyDescent="0.35">
      <c r="A367" t="s">
        <v>379</v>
      </c>
      <c r="B367" t="s">
        <v>872</v>
      </c>
      <c r="C367" t="s">
        <v>1368</v>
      </c>
      <c r="D367" t="s">
        <v>1506</v>
      </c>
      <c r="E367" s="9" t="s">
        <v>1508</v>
      </c>
      <c r="F367" s="9" t="s">
        <v>1513</v>
      </c>
      <c r="G367" s="7">
        <v>45710</v>
      </c>
      <c r="H367" s="5">
        <v>80</v>
      </c>
      <c r="I367" s="3">
        <v>42.33</v>
      </c>
      <c r="J367" t="s">
        <v>1517</v>
      </c>
      <c r="K367" t="s">
        <v>1521</v>
      </c>
      <c r="L367" t="s">
        <v>1526</v>
      </c>
      <c r="M367">
        <v>23</v>
      </c>
      <c r="N367" t="s">
        <v>1527</v>
      </c>
      <c r="O367">
        <f t="shared" si="30"/>
        <v>2025</v>
      </c>
      <c r="P367">
        <f t="shared" si="31"/>
        <v>2</v>
      </c>
      <c r="Q367" s="3">
        <f t="shared" si="32"/>
        <v>5.8516296296296311</v>
      </c>
      <c r="R367">
        <f t="shared" si="33"/>
        <v>1</v>
      </c>
      <c r="S367" t="str">
        <f t="shared" si="34"/>
        <v>Normal</v>
      </c>
      <c r="U367" t="str">
        <f t="shared" si="35"/>
        <v>2025-02</v>
      </c>
    </row>
    <row r="368" spans="1:21" x14ac:dyDescent="0.35">
      <c r="A368" t="s">
        <v>380</v>
      </c>
      <c r="B368" t="s">
        <v>873</v>
      </c>
      <c r="C368" t="s">
        <v>1369</v>
      </c>
      <c r="D368" t="s">
        <v>1505</v>
      </c>
      <c r="E368" s="9" t="s">
        <v>1508</v>
      </c>
      <c r="F368" s="9" t="s">
        <v>1513</v>
      </c>
      <c r="G368" s="7">
        <v>45800</v>
      </c>
      <c r="H368" s="5">
        <v>6</v>
      </c>
      <c r="I368" s="3">
        <v>0</v>
      </c>
      <c r="J368" t="s">
        <v>1516</v>
      </c>
      <c r="K368" t="s">
        <v>1521</v>
      </c>
      <c r="L368" t="s">
        <v>1525</v>
      </c>
      <c r="M368">
        <v>12</v>
      </c>
      <c r="N368" t="s">
        <v>1528</v>
      </c>
      <c r="O368">
        <f t="shared" si="30"/>
        <v>2025</v>
      </c>
      <c r="P368">
        <f t="shared" si="31"/>
        <v>5</v>
      </c>
      <c r="Q368" s="3">
        <f t="shared" si="32"/>
        <v>5.5794029850746272</v>
      </c>
      <c r="R368">
        <f t="shared" si="33"/>
        <v>1</v>
      </c>
      <c r="S368" t="str">
        <f t="shared" si="34"/>
        <v>Normal</v>
      </c>
      <c r="U368" t="str">
        <f t="shared" si="35"/>
        <v>2025-05</v>
      </c>
    </row>
    <row r="369" spans="1:21" x14ac:dyDescent="0.35">
      <c r="A369" t="s">
        <v>381</v>
      </c>
      <c r="B369" t="s">
        <v>874</v>
      </c>
      <c r="C369" t="s">
        <v>1370</v>
      </c>
      <c r="D369" t="s">
        <v>1502</v>
      </c>
      <c r="E369" s="9" t="s">
        <v>1508</v>
      </c>
      <c r="F369" s="9" t="s">
        <v>1514</v>
      </c>
      <c r="G369" s="7">
        <v>45772</v>
      </c>
      <c r="H369" s="5">
        <v>161</v>
      </c>
      <c r="I369" s="3">
        <v>0</v>
      </c>
      <c r="J369" t="s">
        <v>1516</v>
      </c>
      <c r="K369" t="s">
        <v>1521</v>
      </c>
      <c r="L369" t="s">
        <v>1525</v>
      </c>
      <c r="M369">
        <v>25</v>
      </c>
      <c r="N369" t="s">
        <v>1527</v>
      </c>
      <c r="O369">
        <f t="shared" si="30"/>
        <v>2025</v>
      </c>
      <c r="P369">
        <f t="shared" si="31"/>
        <v>4</v>
      </c>
      <c r="Q369" s="3">
        <f t="shared" si="32"/>
        <v>5.6213533834586462</v>
      </c>
      <c r="R369">
        <f t="shared" si="33"/>
        <v>1</v>
      </c>
      <c r="S369" t="str">
        <f t="shared" si="34"/>
        <v>Normal</v>
      </c>
      <c r="U369" t="str">
        <f t="shared" si="35"/>
        <v>2025-04</v>
      </c>
    </row>
    <row r="370" spans="1:21" x14ac:dyDescent="0.35">
      <c r="A370" t="s">
        <v>382</v>
      </c>
      <c r="B370" t="s">
        <v>875</v>
      </c>
      <c r="C370" t="s">
        <v>1179</v>
      </c>
      <c r="D370" t="s">
        <v>1504</v>
      </c>
      <c r="E370" s="9" t="s">
        <v>1509</v>
      </c>
      <c r="F370" s="9" t="s">
        <v>1511</v>
      </c>
      <c r="G370" s="7">
        <v>45714</v>
      </c>
      <c r="H370" s="5">
        <v>67</v>
      </c>
      <c r="I370" s="3">
        <v>0</v>
      </c>
      <c r="J370" t="s">
        <v>1516</v>
      </c>
      <c r="K370" t="s">
        <v>1523</v>
      </c>
      <c r="L370" t="s">
        <v>1525</v>
      </c>
      <c r="M370">
        <v>48</v>
      </c>
      <c r="N370" t="s">
        <v>1528</v>
      </c>
      <c r="O370">
        <f t="shared" si="30"/>
        <v>2025</v>
      </c>
      <c r="P370">
        <f t="shared" si="31"/>
        <v>2</v>
      </c>
      <c r="Q370" s="3">
        <f t="shared" si="32"/>
        <v>5.6639393939393941</v>
      </c>
      <c r="R370">
        <f t="shared" si="33"/>
        <v>0</v>
      </c>
      <c r="S370" t="str">
        <f t="shared" si="34"/>
        <v>Normal</v>
      </c>
      <c r="U370" t="str">
        <f t="shared" si="35"/>
        <v>2025-02</v>
      </c>
    </row>
    <row r="371" spans="1:21" x14ac:dyDescent="0.35">
      <c r="A371" t="s">
        <v>383</v>
      </c>
      <c r="B371" t="s">
        <v>876</v>
      </c>
      <c r="C371" t="s">
        <v>1371</v>
      </c>
      <c r="D371" t="s">
        <v>1505</v>
      </c>
      <c r="E371" s="9" t="s">
        <v>1508</v>
      </c>
      <c r="F371" s="9" t="s">
        <v>1513</v>
      </c>
      <c r="G371" s="7">
        <v>45722</v>
      </c>
      <c r="H371" s="5">
        <v>144</v>
      </c>
      <c r="I371" s="3">
        <v>0</v>
      </c>
      <c r="J371" t="s">
        <v>1516</v>
      </c>
      <c r="K371" t="s">
        <v>1523</v>
      </c>
      <c r="L371" t="s">
        <v>1525</v>
      </c>
      <c r="M371">
        <v>9</v>
      </c>
      <c r="N371" t="s">
        <v>1528</v>
      </c>
      <c r="O371">
        <f t="shared" si="30"/>
        <v>2025</v>
      </c>
      <c r="P371">
        <f t="shared" si="31"/>
        <v>3</v>
      </c>
      <c r="Q371" s="3">
        <f t="shared" si="32"/>
        <v>5.707175572519084</v>
      </c>
      <c r="R371">
        <f t="shared" si="33"/>
        <v>0</v>
      </c>
      <c r="S371" t="str">
        <f t="shared" si="34"/>
        <v>Normal</v>
      </c>
      <c r="U371" t="str">
        <f t="shared" si="35"/>
        <v>2025-03</v>
      </c>
    </row>
    <row r="372" spans="1:21" x14ac:dyDescent="0.35">
      <c r="A372" t="s">
        <v>384</v>
      </c>
      <c r="B372" t="s">
        <v>877</v>
      </c>
      <c r="C372" t="s">
        <v>1372</v>
      </c>
      <c r="D372" t="s">
        <v>1503</v>
      </c>
      <c r="E372" s="9" t="s">
        <v>1508</v>
      </c>
      <c r="F372" s="9" t="s">
        <v>1512</v>
      </c>
      <c r="G372" s="7">
        <v>45754</v>
      </c>
      <c r="H372" s="5">
        <v>144</v>
      </c>
      <c r="I372" s="3">
        <v>29.52</v>
      </c>
      <c r="J372" t="s">
        <v>1520</v>
      </c>
      <c r="K372" t="s">
        <v>1523</v>
      </c>
      <c r="L372" t="s">
        <v>1526</v>
      </c>
      <c r="M372">
        <v>36</v>
      </c>
      <c r="N372" t="s">
        <v>1528</v>
      </c>
      <c r="O372">
        <f t="shared" si="30"/>
        <v>2025</v>
      </c>
      <c r="P372">
        <f t="shared" si="31"/>
        <v>4</v>
      </c>
      <c r="Q372" s="3">
        <f t="shared" si="32"/>
        <v>5.7510769230769228</v>
      </c>
      <c r="R372">
        <f t="shared" si="33"/>
        <v>0</v>
      </c>
      <c r="S372" t="str">
        <f t="shared" si="34"/>
        <v>Normal</v>
      </c>
      <c r="U372" t="str">
        <f t="shared" si="35"/>
        <v>2025-04</v>
      </c>
    </row>
    <row r="373" spans="1:21" x14ac:dyDescent="0.35">
      <c r="A373" t="s">
        <v>385</v>
      </c>
      <c r="B373" t="s">
        <v>878</v>
      </c>
      <c r="C373" t="s">
        <v>1373</v>
      </c>
      <c r="D373" t="s">
        <v>1503</v>
      </c>
      <c r="E373" s="9" t="s">
        <v>1509</v>
      </c>
      <c r="F373" s="9" t="s">
        <v>1512</v>
      </c>
      <c r="G373" s="7">
        <v>45655</v>
      </c>
      <c r="H373" s="5">
        <v>83</v>
      </c>
      <c r="I373" s="3">
        <v>0</v>
      </c>
      <c r="J373" t="s">
        <v>1516</v>
      </c>
      <c r="K373" t="s">
        <v>1521</v>
      </c>
      <c r="L373" t="s">
        <v>1525</v>
      </c>
      <c r="M373">
        <v>49</v>
      </c>
      <c r="N373" t="s">
        <v>1528</v>
      </c>
      <c r="O373">
        <f t="shared" si="30"/>
        <v>2024</v>
      </c>
      <c r="P373">
        <f t="shared" si="31"/>
        <v>12</v>
      </c>
      <c r="Q373" s="3">
        <f t="shared" si="32"/>
        <v>5.5668217054263565</v>
      </c>
      <c r="R373">
        <f t="shared" si="33"/>
        <v>1</v>
      </c>
      <c r="S373" t="str">
        <f t="shared" si="34"/>
        <v>Normal</v>
      </c>
      <c r="U373" t="str">
        <f t="shared" si="35"/>
        <v>2024-12</v>
      </c>
    </row>
    <row r="374" spans="1:21" x14ac:dyDescent="0.35">
      <c r="A374" t="s">
        <v>386</v>
      </c>
      <c r="B374" t="s">
        <v>879</v>
      </c>
      <c r="C374" t="s">
        <v>1374</v>
      </c>
      <c r="D374" t="s">
        <v>1504</v>
      </c>
      <c r="E374" s="9" t="s">
        <v>1509</v>
      </c>
      <c r="F374" s="9" t="s">
        <v>1510</v>
      </c>
      <c r="G374" s="7">
        <v>45811</v>
      </c>
      <c r="H374" s="5">
        <v>128</v>
      </c>
      <c r="I374" s="3">
        <v>0</v>
      </c>
      <c r="J374" t="s">
        <v>1516</v>
      </c>
      <c r="K374" t="s">
        <v>1521</v>
      </c>
      <c r="L374" t="s">
        <v>1526</v>
      </c>
      <c r="M374">
        <v>29</v>
      </c>
      <c r="N374" t="s">
        <v>1528</v>
      </c>
      <c r="O374">
        <f t="shared" si="30"/>
        <v>2025</v>
      </c>
      <c r="P374">
        <f t="shared" si="31"/>
        <v>6</v>
      </c>
      <c r="Q374" s="3">
        <f t="shared" si="32"/>
        <v>5.6103125</v>
      </c>
      <c r="R374">
        <f t="shared" si="33"/>
        <v>1</v>
      </c>
      <c r="S374" t="str">
        <f t="shared" si="34"/>
        <v>Normal</v>
      </c>
      <c r="U374" t="str">
        <f t="shared" si="35"/>
        <v>2025-06</v>
      </c>
    </row>
    <row r="375" spans="1:21" x14ac:dyDescent="0.35">
      <c r="A375" t="s">
        <v>387</v>
      </c>
      <c r="B375" t="s">
        <v>880</v>
      </c>
      <c r="C375" t="s">
        <v>1375</v>
      </c>
      <c r="D375" t="s">
        <v>1503</v>
      </c>
      <c r="E375" s="9" t="s">
        <v>1509</v>
      </c>
      <c r="F375" s="9" t="s">
        <v>1515</v>
      </c>
      <c r="G375" s="7">
        <v>45775</v>
      </c>
      <c r="H375" s="5">
        <v>59</v>
      </c>
      <c r="I375" s="3">
        <v>0</v>
      </c>
      <c r="J375" t="s">
        <v>1516</v>
      </c>
      <c r="K375" t="s">
        <v>1521</v>
      </c>
      <c r="L375" t="s">
        <v>1525</v>
      </c>
      <c r="M375">
        <v>36</v>
      </c>
      <c r="N375" t="s">
        <v>1528</v>
      </c>
      <c r="O375">
        <f t="shared" si="30"/>
        <v>2025</v>
      </c>
      <c r="P375">
        <f t="shared" si="31"/>
        <v>4</v>
      </c>
      <c r="Q375" s="3">
        <f t="shared" si="32"/>
        <v>5.6544881889763783</v>
      </c>
      <c r="R375">
        <f t="shared" si="33"/>
        <v>1</v>
      </c>
      <c r="S375" t="str">
        <f t="shared" si="34"/>
        <v>Normal</v>
      </c>
      <c r="U375" t="str">
        <f t="shared" si="35"/>
        <v>2025-04</v>
      </c>
    </row>
    <row r="376" spans="1:21" x14ac:dyDescent="0.35">
      <c r="A376" t="s">
        <v>388</v>
      </c>
      <c r="B376" t="s">
        <v>881</v>
      </c>
      <c r="C376" t="s">
        <v>1376</v>
      </c>
      <c r="D376" t="s">
        <v>1503</v>
      </c>
      <c r="E376" s="9" t="s">
        <v>1507</v>
      </c>
      <c r="F376" s="9" t="s">
        <v>1510</v>
      </c>
      <c r="G376" s="7">
        <v>45786</v>
      </c>
      <c r="H376" s="5">
        <v>79</v>
      </c>
      <c r="I376" s="3">
        <v>20.5</v>
      </c>
      <c r="J376" t="s">
        <v>1517</v>
      </c>
      <c r="K376" t="s">
        <v>1521</v>
      </c>
      <c r="L376" t="s">
        <v>1526</v>
      </c>
      <c r="M376">
        <v>5</v>
      </c>
      <c r="N376" t="s">
        <v>1528</v>
      </c>
      <c r="O376">
        <f t="shared" si="30"/>
        <v>2025</v>
      </c>
      <c r="P376">
        <f t="shared" si="31"/>
        <v>5</v>
      </c>
      <c r="Q376" s="3">
        <f t="shared" si="32"/>
        <v>5.6993650793650792</v>
      </c>
      <c r="R376">
        <f t="shared" si="33"/>
        <v>1</v>
      </c>
      <c r="S376" t="str">
        <f t="shared" si="34"/>
        <v>Normal</v>
      </c>
      <c r="U376" t="str">
        <f t="shared" si="35"/>
        <v>2025-05</v>
      </c>
    </row>
    <row r="377" spans="1:21" x14ac:dyDescent="0.35">
      <c r="A377" t="s">
        <v>389</v>
      </c>
      <c r="B377" t="s">
        <v>882</v>
      </c>
      <c r="C377" t="s">
        <v>1377</v>
      </c>
      <c r="D377" t="s">
        <v>1502</v>
      </c>
      <c r="E377" s="9" t="s">
        <v>1509</v>
      </c>
      <c r="F377" s="9" t="s">
        <v>1514</v>
      </c>
      <c r="G377" s="7">
        <v>45651</v>
      </c>
      <c r="H377" s="5">
        <v>167</v>
      </c>
      <c r="I377" s="3">
        <v>0</v>
      </c>
      <c r="J377" t="s">
        <v>1516</v>
      </c>
      <c r="K377" t="s">
        <v>1521</v>
      </c>
      <c r="L377" t="s">
        <v>1526</v>
      </c>
      <c r="M377">
        <v>37</v>
      </c>
      <c r="N377" t="s">
        <v>1527</v>
      </c>
      <c r="O377">
        <f t="shared" si="30"/>
        <v>2024</v>
      </c>
      <c r="P377">
        <f t="shared" si="31"/>
        <v>12</v>
      </c>
      <c r="Q377" s="3">
        <f t="shared" si="32"/>
        <v>5.5809600000000001</v>
      </c>
      <c r="R377">
        <f t="shared" si="33"/>
        <v>1</v>
      </c>
      <c r="S377" t="str">
        <f t="shared" si="34"/>
        <v>Normal</v>
      </c>
      <c r="U377" t="str">
        <f t="shared" si="35"/>
        <v>2024-12</v>
      </c>
    </row>
    <row r="378" spans="1:21" x14ac:dyDescent="0.35">
      <c r="A378" t="s">
        <v>390</v>
      </c>
      <c r="B378" t="s">
        <v>883</v>
      </c>
      <c r="C378" t="s">
        <v>1378</v>
      </c>
      <c r="D378" t="s">
        <v>1502</v>
      </c>
      <c r="E378" s="9" t="s">
        <v>1507</v>
      </c>
      <c r="F378" s="9" t="s">
        <v>1514</v>
      </c>
      <c r="G378" s="7">
        <v>45765</v>
      </c>
      <c r="H378" s="5">
        <v>165</v>
      </c>
      <c r="I378" s="3">
        <v>21.99</v>
      </c>
      <c r="J378" t="s">
        <v>1517</v>
      </c>
      <c r="K378" t="s">
        <v>1523</v>
      </c>
      <c r="L378" t="s">
        <v>1526</v>
      </c>
      <c r="M378">
        <v>45</v>
      </c>
      <c r="N378" t="s">
        <v>1527</v>
      </c>
      <c r="O378">
        <f t="shared" si="30"/>
        <v>2025</v>
      </c>
      <c r="P378">
        <f t="shared" si="31"/>
        <v>4</v>
      </c>
      <c r="Q378" s="3">
        <f t="shared" si="32"/>
        <v>5.6259677419354839</v>
      </c>
      <c r="R378">
        <f t="shared" si="33"/>
        <v>0</v>
      </c>
      <c r="S378" t="str">
        <f t="shared" si="34"/>
        <v>Normal</v>
      </c>
      <c r="U378" t="str">
        <f t="shared" si="35"/>
        <v>2025-04</v>
      </c>
    </row>
    <row r="379" spans="1:21" x14ac:dyDescent="0.35">
      <c r="A379" t="s">
        <v>391</v>
      </c>
      <c r="B379" t="s">
        <v>884</v>
      </c>
      <c r="C379" t="s">
        <v>1379</v>
      </c>
      <c r="D379" t="s">
        <v>1502</v>
      </c>
      <c r="E379" s="9" t="s">
        <v>1507</v>
      </c>
      <c r="F379" s="9" t="s">
        <v>1514</v>
      </c>
      <c r="G379" s="7">
        <v>45788</v>
      </c>
      <c r="H379" s="5">
        <v>109</v>
      </c>
      <c r="I379" s="3">
        <v>39.869999999999997</v>
      </c>
      <c r="J379" t="s">
        <v>1517</v>
      </c>
      <c r="K379" t="s">
        <v>1521</v>
      </c>
      <c r="L379" t="s">
        <v>1526</v>
      </c>
      <c r="M379">
        <v>13</v>
      </c>
      <c r="N379" t="s">
        <v>1528</v>
      </c>
      <c r="O379">
        <f t="shared" si="30"/>
        <v>2025</v>
      </c>
      <c r="P379">
        <f t="shared" si="31"/>
        <v>5</v>
      </c>
      <c r="Q379" s="3">
        <f t="shared" si="32"/>
        <v>5.4929268292682929</v>
      </c>
      <c r="R379">
        <f t="shared" si="33"/>
        <v>1</v>
      </c>
      <c r="S379" t="str">
        <f t="shared" si="34"/>
        <v>Normal</v>
      </c>
      <c r="U379" t="str">
        <f t="shared" si="35"/>
        <v>2025-05</v>
      </c>
    </row>
    <row r="380" spans="1:21" x14ac:dyDescent="0.35">
      <c r="A380" t="s">
        <v>392</v>
      </c>
      <c r="B380" t="s">
        <v>885</v>
      </c>
      <c r="C380" t="s">
        <v>1380</v>
      </c>
      <c r="D380" t="s">
        <v>1505</v>
      </c>
      <c r="E380" s="9" t="s">
        <v>1508</v>
      </c>
      <c r="F380" s="9" t="s">
        <v>1514</v>
      </c>
      <c r="G380" s="7">
        <v>45733</v>
      </c>
      <c r="H380" s="5">
        <v>167</v>
      </c>
      <c r="I380" s="3">
        <v>0</v>
      </c>
      <c r="J380" t="s">
        <v>1516</v>
      </c>
      <c r="K380" t="s">
        <v>1523</v>
      </c>
      <c r="L380" t="s">
        <v>1526</v>
      </c>
      <c r="M380">
        <v>28</v>
      </c>
      <c r="N380" t="s">
        <v>1527</v>
      </c>
      <c r="O380">
        <f t="shared" si="30"/>
        <v>2025</v>
      </c>
      <c r="P380">
        <f t="shared" si="31"/>
        <v>3</v>
      </c>
      <c r="Q380" s="3">
        <f t="shared" si="32"/>
        <v>5.2111475409836059</v>
      </c>
      <c r="R380">
        <f t="shared" si="33"/>
        <v>0</v>
      </c>
      <c r="S380" t="str">
        <f t="shared" si="34"/>
        <v>Normal</v>
      </c>
      <c r="U380" t="str">
        <f t="shared" si="35"/>
        <v>2025-03</v>
      </c>
    </row>
    <row r="381" spans="1:21" x14ac:dyDescent="0.35">
      <c r="A381" t="s">
        <v>393</v>
      </c>
      <c r="B381" t="s">
        <v>886</v>
      </c>
      <c r="C381" t="s">
        <v>1381</v>
      </c>
      <c r="D381" t="s">
        <v>1504</v>
      </c>
      <c r="E381" s="9" t="s">
        <v>1508</v>
      </c>
      <c r="F381" s="9" t="s">
        <v>1515</v>
      </c>
      <c r="G381" s="7">
        <v>45694</v>
      </c>
      <c r="H381" s="5">
        <v>36</v>
      </c>
      <c r="I381" s="3">
        <v>14.75</v>
      </c>
      <c r="J381" t="s">
        <v>1519</v>
      </c>
      <c r="K381" t="s">
        <v>1521</v>
      </c>
      <c r="L381" t="s">
        <v>1526</v>
      </c>
      <c r="M381">
        <v>46</v>
      </c>
      <c r="N381" t="s">
        <v>1528</v>
      </c>
      <c r="O381">
        <f t="shared" si="30"/>
        <v>2025</v>
      </c>
      <c r="P381">
        <f t="shared" si="31"/>
        <v>2</v>
      </c>
      <c r="Q381" s="3">
        <f t="shared" si="32"/>
        <v>5.2542148760330569</v>
      </c>
      <c r="R381">
        <f t="shared" si="33"/>
        <v>1</v>
      </c>
      <c r="S381" t="str">
        <f t="shared" si="34"/>
        <v>Normal</v>
      </c>
      <c r="U381" t="str">
        <f t="shared" si="35"/>
        <v>2025-02</v>
      </c>
    </row>
    <row r="382" spans="1:21" x14ac:dyDescent="0.35">
      <c r="A382" t="s">
        <v>394</v>
      </c>
      <c r="B382" t="s">
        <v>887</v>
      </c>
      <c r="C382" t="s">
        <v>1382</v>
      </c>
      <c r="D382" t="s">
        <v>1504</v>
      </c>
      <c r="E382" s="9" t="s">
        <v>1508</v>
      </c>
      <c r="F382" s="9" t="s">
        <v>1511</v>
      </c>
      <c r="G382" s="7">
        <v>45737</v>
      </c>
      <c r="H382" s="5">
        <v>54</v>
      </c>
      <c r="I382" s="3">
        <v>0</v>
      </c>
      <c r="J382" t="s">
        <v>1516</v>
      </c>
      <c r="K382" t="s">
        <v>1521</v>
      </c>
      <c r="L382" t="s">
        <v>1525</v>
      </c>
      <c r="M382">
        <v>25</v>
      </c>
      <c r="N382" t="s">
        <v>1528</v>
      </c>
      <c r="O382">
        <f t="shared" si="30"/>
        <v>2025</v>
      </c>
      <c r="P382">
        <f t="shared" si="31"/>
        <v>3</v>
      </c>
      <c r="Q382" s="3">
        <f t="shared" si="32"/>
        <v>5.1750833333333324</v>
      </c>
      <c r="R382">
        <f t="shared" si="33"/>
        <v>1</v>
      </c>
      <c r="S382" t="str">
        <f t="shared" si="34"/>
        <v>Normal</v>
      </c>
      <c r="U382" t="str">
        <f t="shared" si="35"/>
        <v>2025-03</v>
      </c>
    </row>
    <row r="383" spans="1:21" x14ac:dyDescent="0.35">
      <c r="A383" t="s">
        <v>395</v>
      </c>
      <c r="B383" t="s">
        <v>888</v>
      </c>
      <c r="C383" t="s">
        <v>1383</v>
      </c>
      <c r="D383" t="s">
        <v>1502</v>
      </c>
      <c r="E383" s="9" t="s">
        <v>1507</v>
      </c>
      <c r="F383" s="9" t="s">
        <v>1512</v>
      </c>
      <c r="G383" s="7">
        <v>45656</v>
      </c>
      <c r="H383" s="5">
        <v>15</v>
      </c>
      <c r="I383" s="3">
        <v>0</v>
      </c>
      <c r="J383" t="s">
        <v>1516</v>
      </c>
      <c r="K383" t="s">
        <v>1521</v>
      </c>
      <c r="L383" t="s">
        <v>1525</v>
      </c>
      <c r="M383">
        <v>19</v>
      </c>
      <c r="N383" t="s">
        <v>1528</v>
      </c>
      <c r="O383">
        <f t="shared" si="30"/>
        <v>2024</v>
      </c>
      <c r="P383">
        <f t="shared" si="31"/>
        <v>12</v>
      </c>
      <c r="Q383" s="3">
        <f t="shared" si="32"/>
        <v>5.218571428571428</v>
      </c>
      <c r="R383">
        <f t="shared" si="33"/>
        <v>1</v>
      </c>
      <c r="S383" t="str">
        <f t="shared" si="34"/>
        <v>Normal</v>
      </c>
      <c r="U383" t="str">
        <f t="shared" si="35"/>
        <v>2024-12</v>
      </c>
    </row>
    <row r="384" spans="1:21" x14ac:dyDescent="0.35">
      <c r="A384" t="s">
        <v>396</v>
      </c>
      <c r="B384" t="s">
        <v>889</v>
      </c>
      <c r="C384" t="s">
        <v>1384</v>
      </c>
      <c r="D384" t="s">
        <v>1504</v>
      </c>
      <c r="E384" s="9" t="s">
        <v>1507</v>
      </c>
      <c r="F384" s="9" t="s">
        <v>1510</v>
      </c>
      <c r="G384" s="7">
        <v>45776</v>
      </c>
      <c r="H384" s="5">
        <v>101</v>
      </c>
      <c r="I384" s="3">
        <v>0</v>
      </c>
      <c r="J384" t="s">
        <v>1516</v>
      </c>
      <c r="K384" t="s">
        <v>1524</v>
      </c>
      <c r="L384" t="s">
        <v>1525</v>
      </c>
      <c r="M384">
        <v>41</v>
      </c>
      <c r="N384" t="s">
        <v>1528</v>
      </c>
      <c r="O384">
        <f t="shared" si="30"/>
        <v>2025</v>
      </c>
      <c r="P384">
        <f t="shared" si="31"/>
        <v>4</v>
      </c>
      <c r="Q384" s="3">
        <f t="shared" si="32"/>
        <v>5.2627966101694907</v>
      </c>
      <c r="R384">
        <f t="shared" si="33"/>
        <v>0</v>
      </c>
      <c r="S384" t="str">
        <f t="shared" si="34"/>
        <v>Normal</v>
      </c>
      <c r="U384" t="str">
        <f t="shared" si="35"/>
        <v>2025-04</v>
      </c>
    </row>
    <row r="385" spans="1:21" x14ac:dyDescent="0.35">
      <c r="A385" t="s">
        <v>397</v>
      </c>
      <c r="B385" t="s">
        <v>890</v>
      </c>
      <c r="C385" t="s">
        <v>1385</v>
      </c>
      <c r="D385" t="s">
        <v>1504</v>
      </c>
      <c r="E385" s="9" t="s">
        <v>1508</v>
      </c>
      <c r="F385" s="9" t="s">
        <v>1510</v>
      </c>
      <c r="G385" s="7">
        <v>45684</v>
      </c>
      <c r="H385" s="5">
        <v>79</v>
      </c>
      <c r="I385" s="3">
        <v>0</v>
      </c>
      <c r="J385" t="s">
        <v>1516</v>
      </c>
      <c r="K385" t="s">
        <v>1521</v>
      </c>
      <c r="L385" t="s">
        <v>1525</v>
      </c>
      <c r="M385">
        <v>48</v>
      </c>
      <c r="N385" t="s">
        <v>1528</v>
      </c>
      <c r="O385">
        <f t="shared" si="30"/>
        <v>2025</v>
      </c>
      <c r="P385">
        <f t="shared" si="31"/>
        <v>1</v>
      </c>
      <c r="Q385" s="3">
        <f t="shared" si="32"/>
        <v>5.307777777777777</v>
      </c>
      <c r="R385">
        <f t="shared" si="33"/>
        <v>1</v>
      </c>
      <c r="S385" t="str">
        <f t="shared" si="34"/>
        <v>Normal</v>
      </c>
      <c r="U385" t="str">
        <f t="shared" si="35"/>
        <v>2025-01</v>
      </c>
    </row>
    <row r="386" spans="1:21" x14ac:dyDescent="0.35">
      <c r="A386" t="s">
        <v>398</v>
      </c>
      <c r="B386" t="s">
        <v>721</v>
      </c>
      <c r="C386" t="s">
        <v>1386</v>
      </c>
      <c r="D386" t="s">
        <v>1505</v>
      </c>
      <c r="E386" s="9" t="s">
        <v>1509</v>
      </c>
      <c r="F386" s="9" t="s">
        <v>1512</v>
      </c>
      <c r="G386" s="7">
        <v>45751</v>
      </c>
      <c r="H386" s="5">
        <v>13</v>
      </c>
      <c r="I386" s="3">
        <v>0</v>
      </c>
      <c r="J386" t="s">
        <v>1516</v>
      </c>
      <c r="K386" t="s">
        <v>1521</v>
      </c>
      <c r="L386" t="s">
        <v>1525</v>
      </c>
      <c r="M386">
        <v>13</v>
      </c>
      <c r="N386" t="s">
        <v>1528</v>
      </c>
      <c r="O386">
        <f t="shared" si="30"/>
        <v>2025</v>
      </c>
      <c r="P386">
        <f t="shared" si="31"/>
        <v>4</v>
      </c>
      <c r="Q386" s="3">
        <f t="shared" si="32"/>
        <v>5.3535344827586195</v>
      </c>
      <c r="R386">
        <f t="shared" si="33"/>
        <v>1</v>
      </c>
      <c r="S386" t="str">
        <f t="shared" si="34"/>
        <v>Normal</v>
      </c>
      <c r="U386" t="str">
        <f t="shared" si="35"/>
        <v>2025-04</v>
      </c>
    </row>
    <row r="387" spans="1:21" x14ac:dyDescent="0.35">
      <c r="A387" t="s">
        <v>399</v>
      </c>
      <c r="B387" t="s">
        <v>891</v>
      </c>
      <c r="C387" t="s">
        <v>1387</v>
      </c>
      <c r="D387" t="s">
        <v>1503</v>
      </c>
      <c r="E387" s="9" t="s">
        <v>1507</v>
      </c>
      <c r="F387" s="9" t="s">
        <v>1513</v>
      </c>
      <c r="G387" s="7">
        <v>45663</v>
      </c>
      <c r="H387" s="5">
        <v>157</v>
      </c>
      <c r="I387" s="3">
        <v>0</v>
      </c>
      <c r="J387" t="s">
        <v>1516</v>
      </c>
      <c r="K387" t="s">
        <v>1521</v>
      </c>
      <c r="L387" t="s">
        <v>1525</v>
      </c>
      <c r="M387">
        <v>22</v>
      </c>
      <c r="N387" t="s">
        <v>1527</v>
      </c>
      <c r="O387">
        <f t="shared" ref="O387:O450" si="36">YEAR(G387)</f>
        <v>2025</v>
      </c>
      <c r="P387">
        <f t="shared" ref="P387:P450" si="37">MONTH(G387)</f>
        <v>1</v>
      </c>
      <c r="Q387" s="3">
        <f t="shared" ref="Q387:Q450" si="38">SUM(I387:I886)/COUNTA(B387:B886)</f>
        <v>5.4000869565217382</v>
      </c>
      <c r="R387">
        <f t="shared" ref="R387:R450" si="39">IF(K387="Completed",1,0)</f>
        <v>1</v>
      </c>
      <c r="S387" t="str">
        <f t="shared" ref="S387:S450" si="40">IF((H387&gt;$T$2),"Suspicious","Normal")</f>
        <v>Normal</v>
      </c>
      <c r="U387" t="str">
        <f t="shared" ref="U387:U450" si="41">TEXT(G387,"yyyy-mm")</f>
        <v>2025-01</v>
      </c>
    </row>
    <row r="388" spans="1:21" x14ac:dyDescent="0.35">
      <c r="A388" t="s">
        <v>400</v>
      </c>
      <c r="B388" t="s">
        <v>892</v>
      </c>
      <c r="C388" t="s">
        <v>1388</v>
      </c>
      <c r="D388" t="s">
        <v>1504</v>
      </c>
      <c r="E388" s="9" t="s">
        <v>1507</v>
      </c>
      <c r="F388" s="9" t="s">
        <v>1513</v>
      </c>
      <c r="G388" s="7">
        <v>45813</v>
      </c>
      <c r="H388" s="5">
        <v>6</v>
      </c>
      <c r="I388" s="3">
        <v>0</v>
      </c>
      <c r="J388" t="s">
        <v>1516</v>
      </c>
      <c r="K388" t="s">
        <v>1522</v>
      </c>
      <c r="L388" t="s">
        <v>1525</v>
      </c>
      <c r="M388">
        <v>7</v>
      </c>
      <c r="N388" t="s">
        <v>1528</v>
      </c>
      <c r="O388">
        <f t="shared" si="36"/>
        <v>2025</v>
      </c>
      <c r="P388">
        <f t="shared" si="37"/>
        <v>6</v>
      </c>
      <c r="Q388" s="3">
        <f t="shared" si="38"/>
        <v>5.4474561403508766</v>
      </c>
      <c r="R388">
        <f t="shared" si="39"/>
        <v>0</v>
      </c>
      <c r="S388" t="str">
        <f t="shared" si="40"/>
        <v>Normal</v>
      </c>
      <c r="U388" t="str">
        <f t="shared" si="41"/>
        <v>2025-06</v>
      </c>
    </row>
    <row r="389" spans="1:21" x14ac:dyDescent="0.35">
      <c r="A389" t="s">
        <v>401</v>
      </c>
      <c r="B389" t="s">
        <v>893</v>
      </c>
      <c r="C389" t="s">
        <v>1389</v>
      </c>
      <c r="D389" t="s">
        <v>1505</v>
      </c>
      <c r="E389" s="9" t="s">
        <v>1507</v>
      </c>
      <c r="F389" s="9" t="s">
        <v>1512</v>
      </c>
      <c r="G389" s="7">
        <v>45809</v>
      </c>
      <c r="H389" s="5">
        <v>134</v>
      </c>
      <c r="I389" s="3">
        <v>0</v>
      </c>
      <c r="J389" t="s">
        <v>1516</v>
      </c>
      <c r="K389" t="s">
        <v>1521</v>
      </c>
      <c r="L389" t="s">
        <v>1525</v>
      </c>
      <c r="M389">
        <v>28</v>
      </c>
      <c r="N389" t="s">
        <v>1528</v>
      </c>
      <c r="O389">
        <f t="shared" si="36"/>
        <v>2025</v>
      </c>
      <c r="P389">
        <f t="shared" si="37"/>
        <v>6</v>
      </c>
      <c r="Q389" s="3">
        <f t="shared" si="38"/>
        <v>5.4956637168141578</v>
      </c>
      <c r="R389">
        <f t="shared" si="39"/>
        <v>1</v>
      </c>
      <c r="S389" t="str">
        <f t="shared" si="40"/>
        <v>Normal</v>
      </c>
      <c r="U389" t="str">
        <f t="shared" si="41"/>
        <v>2025-06</v>
      </c>
    </row>
    <row r="390" spans="1:21" x14ac:dyDescent="0.35">
      <c r="A390" t="s">
        <v>402</v>
      </c>
      <c r="B390" t="s">
        <v>894</v>
      </c>
      <c r="C390" t="s">
        <v>1390</v>
      </c>
      <c r="D390" t="s">
        <v>1506</v>
      </c>
      <c r="E390" s="9" t="s">
        <v>1509</v>
      </c>
      <c r="F390" s="9" t="s">
        <v>1513</v>
      </c>
      <c r="G390" s="7">
        <v>45803</v>
      </c>
      <c r="H390" s="5">
        <v>76</v>
      </c>
      <c r="I390" s="3">
        <v>37.020000000000003</v>
      </c>
      <c r="J390" t="s">
        <v>1519</v>
      </c>
      <c r="K390" t="s">
        <v>1521</v>
      </c>
      <c r="L390" t="s">
        <v>1526</v>
      </c>
      <c r="M390">
        <v>4</v>
      </c>
      <c r="N390" t="s">
        <v>1528</v>
      </c>
      <c r="O390">
        <f t="shared" si="36"/>
        <v>2025</v>
      </c>
      <c r="P390">
        <f t="shared" si="37"/>
        <v>5</v>
      </c>
      <c r="Q390" s="3">
        <f t="shared" si="38"/>
        <v>5.5447321428571419</v>
      </c>
      <c r="R390">
        <f t="shared" si="39"/>
        <v>1</v>
      </c>
      <c r="S390" t="str">
        <f t="shared" si="40"/>
        <v>Normal</v>
      </c>
      <c r="U390" t="str">
        <f t="shared" si="41"/>
        <v>2025-05</v>
      </c>
    </row>
    <row r="391" spans="1:21" x14ac:dyDescent="0.35">
      <c r="A391" t="s">
        <v>403</v>
      </c>
      <c r="B391" t="s">
        <v>895</v>
      </c>
      <c r="C391" t="s">
        <v>1391</v>
      </c>
      <c r="D391" t="s">
        <v>1503</v>
      </c>
      <c r="E391" s="9" t="s">
        <v>1507</v>
      </c>
      <c r="F391" s="9" t="s">
        <v>1515</v>
      </c>
      <c r="G391" s="7">
        <v>45783</v>
      </c>
      <c r="H391" s="5">
        <v>71</v>
      </c>
      <c r="I391" s="3">
        <v>0</v>
      </c>
      <c r="J391" t="s">
        <v>1516</v>
      </c>
      <c r="K391" t="s">
        <v>1521</v>
      </c>
      <c r="L391" t="s">
        <v>1525</v>
      </c>
      <c r="M391">
        <v>46</v>
      </c>
      <c r="N391" t="s">
        <v>1528</v>
      </c>
      <c r="O391">
        <f t="shared" si="36"/>
        <v>2025</v>
      </c>
      <c r="P391">
        <f t="shared" si="37"/>
        <v>5</v>
      </c>
      <c r="Q391" s="3">
        <f t="shared" si="38"/>
        <v>5.2611711711711706</v>
      </c>
      <c r="R391">
        <f t="shared" si="39"/>
        <v>1</v>
      </c>
      <c r="S391" t="str">
        <f t="shared" si="40"/>
        <v>Normal</v>
      </c>
      <c r="U391" t="str">
        <f t="shared" si="41"/>
        <v>2025-05</v>
      </c>
    </row>
    <row r="392" spans="1:21" x14ac:dyDescent="0.35">
      <c r="A392" t="s">
        <v>404</v>
      </c>
      <c r="B392" t="s">
        <v>896</v>
      </c>
      <c r="C392" t="s">
        <v>1392</v>
      </c>
      <c r="D392" t="s">
        <v>1504</v>
      </c>
      <c r="E392" s="9" t="s">
        <v>1509</v>
      </c>
      <c r="F392" s="9" t="s">
        <v>1515</v>
      </c>
      <c r="G392" s="7">
        <v>45660</v>
      </c>
      <c r="H392" s="5">
        <v>49</v>
      </c>
      <c r="I392" s="3">
        <v>19.43</v>
      </c>
      <c r="J392" t="s">
        <v>1519</v>
      </c>
      <c r="K392" t="s">
        <v>1521</v>
      </c>
      <c r="L392" t="s">
        <v>1526</v>
      </c>
      <c r="M392">
        <v>22</v>
      </c>
      <c r="N392" t="s">
        <v>1528</v>
      </c>
      <c r="O392">
        <f t="shared" si="36"/>
        <v>2025</v>
      </c>
      <c r="P392">
        <f t="shared" si="37"/>
        <v>1</v>
      </c>
      <c r="Q392" s="3">
        <f t="shared" si="38"/>
        <v>5.3089999999999993</v>
      </c>
      <c r="R392">
        <f t="shared" si="39"/>
        <v>1</v>
      </c>
      <c r="S392" t="str">
        <f t="shared" si="40"/>
        <v>Normal</v>
      </c>
      <c r="U392" t="str">
        <f t="shared" si="41"/>
        <v>2025-01</v>
      </c>
    </row>
    <row r="393" spans="1:21" x14ac:dyDescent="0.35">
      <c r="A393" t="s">
        <v>405</v>
      </c>
      <c r="B393" t="s">
        <v>897</v>
      </c>
      <c r="C393" t="s">
        <v>1393</v>
      </c>
      <c r="D393" t="s">
        <v>1503</v>
      </c>
      <c r="E393" s="9" t="s">
        <v>1508</v>
      </c>
      <c r="F393" s="9" t="s">
        <v>1511</v>
      </c>
      <c r="G393" s="7">
        <v>45808</v>
      </c>
      <c r="H393" s="5">
        <v>143</v>
      </c>
      <c r="I393" s="3">
        <v>0</v>
      </c>
      <c r="J393" t="s">
        <v>1516</v>
      </c>
      <c r="K393" t="s">
        <v>1524</v>
      </c>
      <c r="L393" t="s">
        <v>1525</v>
      </c>
      <c r="M393">
        <v>17</v>
      </c>
      <c r="N393" t="s">
        <v>1528</v>
      </c>
      <c r="O393">
        <f t="shared" si="36"/>
        <v>2025</v>
      </c>
      <c r="P393">
        <f t="shared" si="37"/>
        <v>5</v>
      </c>
      <c r="Q393" s="3">
        <f t="shared" si="38"/>
        <v>5.1794495412844022</v>
      </c>
      <c r="R393">
        <f t="shared" si="39"/>
        <v>0</v>
      </c>
      <c r="S393" t="str">
        <f t="shared" si="40"/>
        <v>Normal</v>
      </c>
      <c r="U393" t="str">
        <f t="shared" si="41"/>
        <v>2025-05</v>
      </c>
    </row>
    <row r="394" spans="1:21" x14ac:dyDescent="0.35">
      <c r="A394" t="s">
        <v>406</v>
      </c>
      <c r="B394" t="s">
        <v>898</v>
      </c>
      <c r="C394" t="s">
        <v>1394</v>
      </c>
      <c r="D394" t="s">
        <v>1506</v>
      </c>
      <c r="E394" s="9" t="s">
        <v>1508</v>
      </c>
      <c r="F394" s="9" t="s">
        <v>1515</v>
      </c>
      <c r="G394" s="7">
        <v>45703</v>
      </c>
      <c r="H394" s="5">
        <v>166</v>
      </c>
      <c r="I394" s="3">
        <v>0</v>
      </c>
      <c r="J394" t="s">
        <v>1516</v>
      </c>
      <c r="K394" t="s">
        <v>1521</v>
      </c>
      <c r="L394" t="s">
        <v>1525</v>
      </c>
      <c r="M394">
        <v>39</v>
      </c>
      <c r="N394" t="s">
        <v>1527</v>
      </c>
      <c r="O394">
        <f t="shared" si="36"/>
        <v>2025</v>
      </c>
      <c r="P394">
        <f t="shared" si="37"/>
        <v>2</v>
      </c>
      <c r="Q394" s="3">
        <f t="shared" si="38"/>
        <v>5.2274074074074059</v>
      </c>
      <c r="R394">
        <f t="shared" si="39"/>
        <v>1</v>
      </c>
      <c r="S394" t="str">
        <f t="shared" si="40"/>
        <v>Normal</v>
      </c>
      <c r="U394" t="str">
        <f t="shared" si="41"/>
        <v>2025-02</v>
      </c>
    </row>
    <row r="395" spans="1:21" x14ac:dyDescent="0.35">
      <c r="A395" t="s">
        <v>407</v>
      </c>
      <c r="B395" t="s">
        <v>899</v>
      </c>
      <c r="C395" t="s">
        <v>1395</v>
      </c>
      <c r="D395" t="s">
        <v>1503</v>
      </c>
      <c r="E395" s="9" t="s">
        <v>1509</v>
      </c>
      <c r="F395" s="9" t="s">
        <v>1513</v>
      </c>
      <c r="G395" s="7">
        <v>45806</v>
      </c>
      <c r="H395" s="5">
        <v>34</v>
      </c>
      <c r="I395" s="3">
        <v>0</v>
      </c>
      <c r="J395" t="s">
        <v>1516</v>
      </c>
      <c r="K395" t="s">
        <v>1521</v>
      </c>
      <c r="L395" t="s">
        <v>1525</v>
      </c>
      <c r="M395">
        <v>45</v>
      </c>
      <c r="N395" t="s">
        <v>1528</v>
      </c>
      <c r="O395">
        <f t="shared" si="36"/>
        <v>2025</v>
      </c>
      <c r="P395">
        <f t="shared" si="37"/>
        <v>5</v>
      </c>
      <c r="Q395" s="3">
        <f t="shared" si="38"/>
        <v>5.2762616822429891</v>
      </c>
      <c r="R395">
        <f t="shared" si="39"/>
        <v>1</v>
      </c>
      <c r="S395" t="str">
        <f t="shared" si="40"/>
        <v>Normal</v>
      </c>
      <c r="U395" t="str">
        <f t="shared" si="41"/>
        <v>2025-05</v>
      </c>
    </row>
    <row r="396" spans="1:21" x14ac:dyDescent="0.35">
      <c r="A396" t="s">
        <v>408</v>
      </c>
      <c r="B396" t="s">
        <v>900</v>
      </c>
      <c r="C396" t="s">
        <v>1396</v>
      </c>
      <c r="D396" t="s">
        <v>1506</v>
      </c>
      <c r="E396" s="9" t="s">
        <v>1507</v>
      </c>
      <c r="F396" s="9" t="s">
        <v>1515</v>
      </c>
      <c r="G396" s="7">
        <v>45685</v>
      </c>
      <c r="H396" s="5">
        <v>57</v>
      </c>
      <c r="I396" s="3">
        <v>0</v>
      </c>
      <c r="J396" t="s">
        <v>1516</v>
      </c>
      <c r="K396" t="s">
        <v>1521</v>
      </c>
      <c r="L396" t="s">
        <v>1525</v>
      </c>
      <c r="M396">
        <v>1</v>
      </c>
      <c r="N396" t="s">
        <v>1528</v>
      </c>
      <c r="O396">
        <f t="shared" si="36"/>
        <v>2025</v>
      </c>
      <c r="P396">
        <f t="shared" si="37"/>
        <v>1</v>
      </c>
      <c r="Q396" s="3">
        <f t="shared" si="38"/>
        <v>5.3260377358490549</v>
      </c>
      <c r="R396">
        <f t="shared" si="39"/>
        <v>1</v>
      </c>
      <c r="S396" t="str">
        <f t="shared" si="40"/>
        <v>Normal</v>
      </c>
      <c r="U396" t="str">
        <f t="shared" si="41"/>
        <v>2025-01</v>
      </c>
    </row>
    <row r="397" spans="1:21" x14ac:dyDescent="0.35">
      <c r="A397" t="s">
        <v>409</v>
      </c>
      <c r="B397" t="s">
        <v>901</v>
      </c>
      <c r="C397" t="s">
        <v>1397</v>
      </c>
      <c r="D397" t="s">
        <v>1504</v>
      </c>
      <c r="E397" s="9" t="s">
        <v>1508</v>
      </c>
      <c r="F397" s="9" t="s">
        <v>1510</v>
      </c>
      <c r="G397" s="7">
        <v>45739</v>
      </c>
      <c r="H397" s="5">
        <v>88</v>
      </c>
      <c r="I397" s="3">
        <v>0</v>
      </c>
      <c r="J397" t="s">
        <v>1516</v>
      </c>
      <c r="K397" t="s">
        <v>1521</v>
      </c>
      <c r="L397" t="s">
        <v>1525</v>
      </c>
      <c r="M397">
        <v>2</v>
      </c>
      <c r="N397" t="s">
        <v>1528</v>
      </c>
      <c r="O397">
        <f t="shared" si="36"/>
        <v>2025</v>
      </c>
      <c r="P397">
        <f t="shared" si="37"/>
        <v>3</v>
      </c>
      <c r="Q397" s="3">
        <f t="shared" si="38"/>
        <v>5.3767619047619029</v>
      </c>
      <c r="R397">
        <f t="shared" si="39"/>
        <v>1</v>
      </c>
      <c r="S397" t="str">
        <f t="shared" si="40"/>
        <v>Normal</v>
      </c>
      <c r="U397" t="str">
        <f t="shared" si="41"/>
        <v>2025-03</v>
      </c>
    </row>
    <row r="398" spans="1:21" x14ac:dyDescent="0.35">
      <c r="A398" t="s">
        <v>410</v>
      </c>
      <c r="B398" t="s">
        <v>902</v>
      </c>
      <c r="C398" t="s">
        <v>1398</v>
      </c>
      <c r="D398" t="s">
        <v>1502</v>
      </c>
      <c r="E398" s="9" t="s">
        <v>1508</v>
      </c>
      <c r="F398" s="9" t="s">
        <v>1512</v>
      </c>
      <c r="G398" s="7">
        <v>45784</v>
      </c>
      <c r="H398" s="5">
        <v>75</v>
      </c>
      <c r="I398" s="3">
        <v>0</v>
      </c>
      <c r="J398" t="s">
        <v>1516</v>
      </c>
      <c r="K398" t="s">
        <v>1521</v>
      </c>
      <c r="L398" t="s">
        <v>1525</v>
      </c>
      <c r="M398">
        <v>13</v>
      </c>
      <c r="N398" t="s">
        <v>1528</v>
      </c>
      <c r="O398">
        <f t="shared" si="36"/>
        <v>2025</v>
      </c>
      <c r="P398">
        <f t="shared" si="37"/>
        <v>5</v>
      </c>
      <c r="Q398" s="3">
        <f t="shared" si="38"/>
        <v>5.4284615384615371</v>
      </c>
      <c r="R398">
        <f t="shared" si="39"/>
        <v>1</v>
      </c>
      <c r="S398" t="str">
        <f t="shared" si="40"/>
        <v>Normal</v>
      </c>
      <c r="U398" t="str">
        <f t="shared" si="41"/>
        <v>2025-05</v>
      </c>
    </row>
    <row r="399" spans="1:21" x14ac:dyDescent="0.35">
      <c r="A399" t="s">
        <v>411</v>
      </c>
      <c r="B399" t="s">
        <v>903</v>
      </c>
      <c r="C399" t="s">
        <v>1399</v>
      </c>
      <c r="D399" t="s">
        <v>1504</v>
      </c>
      <c r="E399" s="9" t="s">
        <v>1509</v>
      </c>
      <c r="F399" s="9" t="s">
        <v>1510</v>
      </c>
      <c r="G399" s="7">
        <v>45703</v>
      </c>
      <c r="H399" s="5">
        <v>129</v>
      </c>
      <c r="I399" s="3">
        <v>0</v>
      </c>
      <c r="J399" t="s">
        <v>1516</v>
      </c>
      <c r="K399" t="s">
        <v>1524</v>
      </c>
      <c r="L399" t="s">
        <v>1525</v>
      </c>
      <c r="M399">
        <v>37</v>
      </c>
      <c r="N399" t="s">
        <v>1528</v>
      </c>
      <c r="O399">
        <f t="shared" si="36"/>
        <v>2025</v>
      </c>
      <c r="P399">
        <f t="shared" si="37"/>
        <v>2</v>
      </c>
      <c r="Q399" s="3">
        <f t="shared" si="38"/>
        <v>5.481165048543688</v>
      </c>
      <c r="R399">
        <f t="shared" si="39"/>
        <v>0</v>
      </c>
      <c r="S399" t="str">
        <f t="shared" si="40"/>
        <v>Normal</v>
      </c>
      <c r="U399" t="str">
        <f t="shared" si="41"/>
        <v>2025-02</v>
      </c>
    </row>
    <row r="400" spans="1:21" x14ac:dyDescent="0.35">
      <c r="A400" t="s">
        <v>412</v>
      </c>
      <c r="B400" t="s">
        <v>904</v>
      </c>
      <c r="C400" t="s">
        <v>1400</v>
      </c>
      <c r="D400" t="s">
        <v>1503</v>
      </c>
      <c r="E400" s="9" t="s">
        <v>1507</v>
      </c>
      <c r="F400" s="9" t="s">
        <v>1510</v>
      </c>
      <c r="G400" s="7">
        <v>45753</v>
      </c>
      <c r="H400" s="5">
        <v>145</v>
      </c>
      <c r="I400" s="3">
        <v>0</v>
      </c>
      <c r="J400" t="s">
        <v>1516</v>
      </c>
      <c r="K400" t="s">
        <v>1521</v>
      </c>
      <c r="L400" t="s">
        <v>1525</v>
      </c>
      <c r="M400">
        <v>43</v>
      </c>
      <c r="N400" t="s">
        <v>1528</v>
      </c>
      <c r="O400">
        <f t="shared" si="36"/>
        <v>2025</v>
      </c>
      <c r="P400">
        <f t="shared" si="37"/>
        <v>4</v>
      </c>
      <c r="Q400" s="3">
        <f t="shared" si="38"/>
        <v>5.5349019607843122</v>
      </c>
      <c r="R400">
        <f t="shared" si="39"/>
        <v>1</v>
      </c>
      <c r="S400" t="str">
        <f t="shared" si="40"/>
        <v>Normal</v>
      </c>
      <c r="U400" t="str">
        <f t="shared" si="41"/>
        <v>2025-04</v>
      </c>
    </row>
    <row r="401" spans="1:21" x14ac:dyDescent="0.35">
      <c r="A401" t="s">
        <v>413</v>
      </c>
      <c r="B401" t="s">
        <v>905</v>
      </c>
      <c r="C401" t="s">
        <v>1401</v>
      </c>
      <c r="D401" t="s">
        <v>1503</v>
      </c>
      <c r="E401" s="9" t="s">
        <v>1507</v>
      </c>
      <c r="F401" s="9" t="s">
        <v>1512</v>
      </c>
      <c r="G401" s="7">
        <v>45679</v>
      </c>
      <c r="H401" s="5">
        <v>23</v>
      </c>
      <c r="I401" s="3">
        <v>0</v>
      </c>
      <c r="J401" t="s">
        <v>1516</v>
      </c>
      <c r="K401" t="s">
        <v>1521</v>
      </c>
      <c r="L401" t="s">
        <v>1526</v>
      </c>
      <c r="M401">
        <v>26</v>
      </c>
      <c r="N401" t="s">
        <v>1528</v>
      </c>
      <c r="O401">
        <f t="shared" si="36"/>
        <v>2025</v>
      </c>
      <c r="P401">
        <f t="shared" si="37"/>
        <v>1</v>
      </c>
      <c r="Q401" s="3">
        <f t="shared" si="38"/>
        <v>5.5897029702970285</v>
      </c>
      <c r="R401">
        <f t="shared" si="39"/>
        <v>1</v>
      </c>
      <c r="S401" t="str">
        <f t="shared" si="40"/>
        <v>Normal</v>
      </c>
      <c r="U401" t="str">
        <f t="shared" si="41"/>
        <v>2025-01</v>
      </c>
    </row>
    <row r="402" spans="1:21" x14ac:dyDescent="0.35">
      <c r="A402" t="s">
        <v>414</v>
      </c>
      <c r="B402" t="s">
        <v>906</v>
      </c>
      <c r="C402" t="s">
        <v>1402</v>
      </c>
      <c r="D402" t="s">
        <v>1504</v>
      </c>
      <c r="E402" s="9" t="s">
        <v>1508</v>
      </c>
      <c r="F402" s="9" t="s">
        <v>1512</v>
      </c>
      <c r="G402" s="7">
        <v>45803</v>
      </c>
      <c r="H402" s="5">
        <v>105</v>
      </c>
      <c r="I402" s="3">
        <v>0</v>
      </c>
      <c r="J402" t="s">
        <v>1516</v>
      </c>
      <c r="K402" t="s">
        <v>1521</v>
      </c>
      <c r="L402" t="s">
        <v>1525</v>
      </c>
      <c r="M402">
        <v>24</v>
      </c>
      <c r="N402" t="s">
        <v>1528</v>
      </c>
      <c r="O402">
        <f t="shared" si="36"/>
        <v>2025</v>
      </c>
      <c r="P402">
        <f t="shared" si="37"/>
        <v>5</v>
      </c>
      <c r="Q402" s="3">
        <f t="shared" si="38"/>
        <v>5.6455999999999982</v>
      </c>
      <c r="R402">
        <f t="shared" si="39"/>
        <v>1</v>
      </c>
      <c r="S402" t="str">
        <f t="shared" si="40"/>
        <v>Normal</v>
      </c>
      <c r="U402" t="str">
        <f t="shared" si="41"/>
        <v>2025-05</v>
      </c>
    </row>
    <row r="403" spans="1:21" x14ac:dyDescent="0.35">
      <c r="A403" t="s">
        <v>415</v>
      </c>
      <c r="B403" t="s">
        <v>907</v>
      </c>
      <c r="C403" t="s">
        <v>1403</v>
      </c>
      <c r="D403" t="s">
        <v>1506</v>
      </c>
      <c r="E403" s="9" t="s">
        <v>1507</v>
      </c>
      <c r="F403" s="9" t="s">
        <v>1512</v>
      </c>
      <c r="G403" s="7">
        <v>45804</v>
      </c>
      <c r="H403" s="5">
        <v>22</v>
      </c>
      <c r="I403" s="3">
        <v>42.28</v>
      </c>
      <c r="J403" t="s">
        <v>1518</v>
      </c>
      <c r="K403" t="s">
        <v>1524</v>
      </c>
      <c r="L403" t="s">
        <v>1526</v>
      </c>
      <c r="M403">
        <v>10</v>
      </c>
      <c r="N403" t="s">
        <v>1527</v>
      </c>
      <c r="O403">
        <f t="shared" si="36"/>
        <v>2025</v>
      </c>
      <c r="P403">
        <f t="shared" si="37"/>
        <v>5</v>
      </c>
      <c r="Q403" s="3">
        <f t="shared" si="38"/>
        <v>5.7026262626262607</v>
      </c>
      <c r="R403">
        <f t="shared" si="39"/>
        <v>0</v>
      </c>
      <c r="S403" t="str">
        <f t="shared" si="40"/>
        <v>Normal</v>
      </c>
      <c r="U403" t="str">
        <f t="shared" si="41"/>
        <v>2025-05</v>
      </c>
    </row>
    <row r="404" spans="1:21" x14ac:dyDescent="0.35">
      <c r="A404" t="s">
        <v>416</v>
      </c>
      <c r="B404" t="s">
        <v>908</v>
      </c>
      <c r="C404" t="s">
        <v>1404</v>
      </c>
      <c r="D404" t="s">
        <v>1506</v>
      </c>
      <c r="E404" s="9" t="s">
        <v>1508</v>
      </c>
      <c r="F404" s="9" t="s">
        <v>1513</v>
      </c>
      <c r="G404" s="7">
        <v>45816</v>
      </c>
      <c r="H404" s="5">
        <v>41</v>
      </c>
      <c r="I404" s="3">
        <v>24.14</v>
      </c>
      <c r="J404" t="s">
        <v>1519</v>
      </c>
      <c r="K404" t="s">
        <v>1521</v>
      </c>
      <c r="L404" t="s">
        <v>1526</v>
      </c>
      <c r="M404">
        <v>28</v>
      </c>
      <c r="N404" t="s">
        <v>1528</v>
      </c>
      <c r="O404">
        <f t="shared" si="36"/>
        <v>2025</v>
      </c>
      <c r="P404">
        <f t="shared" si="37"/>
        <v>6</v>
      </c>
      <c r="Q404" s="3">
        <f t="shared" si="38"/>
        <v>5.3293877551020392</v>
      </c>
      <c r="R404">
        <f t="shared" si="39"/>
        <v>1</v>
      </c>
      <c r="S404" t="str">
        <f t="shared" si="40"/>
        <v>Normal</v>
      </c>
      <c r="U404" t="str">
        <f t="shared" si="41"/>
        <v>2025-06</v>
      </c>
    </row>
    <row r="405" spans="1:21" x14ac:dyDescent="0.35">
      <c r="A405" t="s">
        <v>417</v>
      </c>
      <c r="B405" t="s">
        <v>909</v>
      </c>
      <c r="C405" t="s">
        <v>1405</v>
      </c>
      <c r="D405" t="s">
        <v>1504</v>
      </c>
      <c r="E405" s="9" t="s">
        <v>1507</v>
      </c>
      <c r="F405" s="9" t="s">
        <v>1513</v>
      </c>
      <c r="G405" s="7">
        <v>45798</v>
      </c>
      <c r="H405" s="5">
        <v>9</v>
      </c>
      <c r="I405" s="3">
        <v>0</v>
      </c>
      <c r="J405" t="s">
        <v>1516</v>
      </c>
      <c r="K405" t="s">
        <v>1523</v>
      </c>
      <c r="L405" t="s">
        <v>1525</v>
      </c>
      <c r="M405">
        <v>40</v>
      </c>
      <c r="N405" t="s">
        <v>1528</v>
      </c>
      <c r="O405">
        <f t="shared" si="36"/>
        <v>2025</v>
      </c>
      <c r="P405">
        <f t="shared" si="37"/>
        <v>5</v>
      </c>
      <c r="Q405" s="3">
        <f t="shared" si="38"/>
        <v>5.1354639175257732</v>
      </c>
      <c r="R405">
        <f t="shared" si="39"/>
        <v>0</v>
      </c>
      <c r="S405" t="str">
        <f t="shared" si="40"/>
        <v>Normal</v>
      </c>
      <c r="U405" t="str">
        <f t="shared" si="41"/>
        <v>2025-05</v>
      </c>
    </row>
    <row r="406" spans="1:21" x14ac:dyDescent="0.35">
      <c r="A406" t="s">
        <v>418</v>
      </c>
      <c r="B406" t="s">
        <v>910</v>
      </c>
      <c r="C406" t="s">
        <v>1406</v>
      </c>
      <c r="D406" t="s">
        <v>1505</v>
      </c>
      <c r="E406" s="9" t="s">
        <v>1507</v>
      </c>
      <c r="F406" s="9" t="s">
        <v>1512</v>
      </c>
      <c r="G406" s="7">
        <v>45700</v>
      </c>
      <c r="H406" s="5">
        <v>111</v>
      </c>
      <c r="I406" s="3">
        <v>0</v>
      </c>
      <c r="J406" t="s">
        <v>1516</v>
      </c>
      <c r="K406" t="s">
        <v>1521</v>
      </c>
      <c r="L406" t="s">
        <v>1525</v>
      </c>
      <c r="M406">
        <v>26</v>
      </c>
      <c r="N406" t="s">
        <v>1528</v>
      </c>
      <c r="O406">
        <f t="shared" si="36"/>
        <v>2025</v>
      </c>
      <c r="P406">
        <f t="shared" si="37"/>
        <v>2</v>
      </c>
      <c r="Q406" s="3">
        <f t="shared" si="38"/>
        <v>5.1889583333333329</v>
      </c>
      <c r="R406">
        <f t="shared" si="39"/>
        <v>1</v>
      </c>
      <c r="S406" t="str">
        <f t="shared" si="40"/>
        <v>Normal</v>
      </c>
      <c r="U406" t="str">
        <f t="shared" si="41"/>
        <v>2025-02</v>
      </c>
    </row>
    <row r="407" spans="1:21" x14ac:dyDescent="0.35">
      <c r="A407" t="s">
        <v>419</v>
      </c>
      <c r="B407" t="s">
        <v>911</v>
      </c>
      <c r="C407" t="s">
        <v>1407</v>
      </c>
      <c r="D407" t="s">
        <v>1506</v>
      </c>
      <c r="E407" s="9" t="s">
        <v>1509</v>
      </c>
      <c r="F407" s="9" t="s">
        <v>1511</v>
      </c>
      <c r="G407" s="7">
        <v>45801</v>
      </c>
      <c r="H407" s="5">
        <v>25</v>
      </c>
      <c r="I407" s="3">
        <v>0</v>
      </c>
      <c r="J407" t="s">
        <v>1516</v>
      </c>
      <c r="K407" t="s">
        <v>1521</v>
      </c>
      <c r="L407" t="s">
        <v>1525</v>
      </c>
      <c r="M407">
        <v>12</v>
      </c>
      <c r="N407" t="s">
        <v>1528</v>
      </c>
      <c r="O407">
        <f t="shared" si="36"/>
        <v>2025</v>
      </c>
      <c r="P407">
        <f t="shared" si="37"/>
        <v>5</v>
      </c>
      <c r="Q407" s="3">
        <f t="shared" si="38"/>
        <v>5.2435789473684213</v>
      </c>
      <c r="R407">
        <f t="shared" si="39"/>
        <v>1</v>
      </c>
      <c r="S407" t="str">
        <f t="shared" si="40"/>
        <v>Normal</v>
      </c>
      <c r="U407" t="str">
        <f t="shared" si="41"/>
        <v>2025-05</v>
      </c>
    </row>
    <row r="408" spans="1:21" x14ac:dyDescent="0.35">
      <c r="A408" t="s">
        <v>420</v>
      </c>
      <c r="B408" t="s">
        <v>912</v>
      </c>
      <c r="C408" t="s">
        <v>1408</v>
      </c>
      <c r="D408" t="s">
        <v>1502</v>
      </c>
      <c r="E408" s="9" t="s">
        <v>1508</v>
      </c>
      <c r="F408" s="9" t="s">
        <v>1513</v>
      </c>
      <c r="G408" s="7">
        <v>45701</v>
      </c>
      <c r="H408" s="5">
        <v>111</v>
      </c>
      <c r="I408" s="3">
        <v>46.08</v>
      </c>
      <c r="J408" t="s">
        <v>1517</v>
      </c>
      <c r="K408" t="s">
        <v>1522</v>
      </c>
      <c r="L408" t="s">
        <v>1526</v>
      </c>
      <c r="M408">
        <v>15</v>
      </c>
      <c r="N408" t="s">
        <v>1527</v>
      </c>
      <c r="O408">
        <f t="shared" si="36"/>
        <v>2025</v>
      </c>
      <c r="P408">
        <f t="shared" si="37"/>
        <v>2</v>
      </c>
      <c r="Q408" s="3">
        <f t="shared" si="38"/>
        <v>5.2993617021276593</v>
      </c>
      <c r="R408">
        <f t="shared" si="39"/>
        <v>0</v>
      </c>
      <c r="S408" t="str">
        <f t="shared" si="40"/>
        <v>Normal</v>
      </c>
      <c r="U408" t="str">
        <f t="shared" si="41"/>
        <v>2025-02</v>
      </c>
    </row>
    <row r="409" spans="1:21" x14ac:dyDescent="0.35">
      <c r="A409" t="s">
        <v>421</v>
      </c>
      <c r="B409" t="s">
        <v>913</v>
      </c>
      <c r="C409" t="s">
        <v>1409</v>
      </c>
      <c r="D409" t="s">
        <v>1504</v>
      </c>
      <c r="E409" s="9" t="s">
        <v>1507</v>
      </c>
      <c r="F409" s="9" t="s">
        <v>1510</v>
      </c>
      <c r="G409" s="7">
        <v>45696</v>
      </c>
      <c r="H409" s="5">
        <v>144</v>
      </c>
      <c r="I409" s="3">
        <v>0</v>
      </c>
      <c r="J409" t="s">
        <v>1516</v>
      </c>
      <c r="K409" t="s">
        <v>1524</v>
      </c>
      <c r="L409" t="s">
        <v>1525</v>
      </c>
      <c r="M409">
        <v>36</v>
      </c>
      <c r="N409" t="s">
        <v>1528</v>
      </c>
      <c r="O409">
        <f t="shared" si="36"/>
        <v>2025</v>
      </c>
      <c r="P409">
        <f t="shared" si="37"/>
        <v>2</v>
      </c>
      <c r="Q409" s="3">
        <f t="shared" si="38"/>
        <v>4.860860215053763</v>
      </c>
      <c r="R409">
        <f t="shared" si="39"/>
        <v>0</v>
      </c>
      <c r="S409" t="str">
        <f t="shared" si="40"/>
        <v>Normal</v>
      </c>
      <c r="U409" t="str">
        <f t="shared" si="41"/>
        <v>2025-02</v>
      </c>
    </row>
    <row r="410" spans="1:21" x14ac:dyDescent="0.35">
      <c r="A410" t="s">
        <v>422</v>
      </c>
      <c r="B410" t="s">
        <v>914</v>
      </c>
      <c r="C410" t="s">
        <v>1410</v>
      </c>
      <c r="D410" t="s">
        <v>1504</v>
      </c>
      <c r="E410" s="9" t="s">
        <v>1508</v>
      </c>
      <c r="F410" s="9" t="s">
        <v>1515</v>
      </c>
      <c r="G410" s="7">
        <v>45667</v>
      </c>
      <c r="H410" s="5">
        <v>22</v>
      </c>
      <c r="I410" s="3">
        <v>17.350000000000001</v>
      </c>
      <c r="J410" t="s">
        <v>1519</v>
      </c>
      <c r="K410" t="s">
        <v>1522</v>
      </c>
      <c r="L410" t="s">
        <v>1526</v>
      </c>
      <c r="M410">
        <v>49</v>
      </c>
      <c r="N410" t="s">
        <v>1528</v>
      </c>
      <c r="O410">
        <f t="shared" si="36"/>
        <v>2025</v>
      </c>
      <c r="P410">
        <f t="shared" si="37"/>
        <v>1</v>
      </c>
      <c r="Q410" s="3">
        <f t="shared" si="38"/>
        <v>4.9136956521739128</v>
      </c>
      <c r="R410">
        <f t="shared" si="39"/>
        <v>0</v>
      </c>
      <c r="S410" t="str">
        <f t="shared" si="40"/>
        <v>Normal</v>
      </c>
      <c r="U410" t="str">
        <f t="shared" si="41"/>
        <v>2025-01</v>
      </c>
    </row>
    <row r="411" spans="1:21" x14ac:dyDescent="0.35">
      <c r="A411" t="s">
        <v>423</v>
      </c>
      <c r="B411" t="s">
        <v>915</v>
      </c>
      <c r="C411" t="s">
        <v>1411</v>
      </c>
      <c r="D411" t="s">
        <v>1506</v>
      </c>
      <c r="E411" s="9" t="s">
        <v>1507</v>
      </c>
      <c r="F411" s="9" t="s">
        <v>1513</v>
      </c>
      <c r="G411" s="7">
        <v>45701</v>
      </c>
      <c r="H411" s="5">
        <v>154</v>
      </c>
      <c r="I411" s="3">
        <v>0</v>
      </c>
      <c r="J411" t="s">
        <v>1516</v>
      </c>
      <c r="K411" t="s">
        <v>1521</v>
      </c>
      <c r="L411" t="s">
        <v>1525</v>
      </c>
      <c r="M411">
        <v>27</v>
      </c>
      <c r="N411" t="s">
        <v>1527</v>
      </c>
      <c r="O411">
        <f t="shared" si="36"/>
        <v>2025</v>
      </c>
      <c r="P411">
        <f t="shared" si="37"/>
        <v>2</v>
      </c>
      <c r="Q411" s="3">
        <f t="shared" si="38"/>
        <v>4.7770329670329668</v>
      </c>
      <c r="R411">
        <f t="shared" si="39"/>
        <v>1</v>
      </c>
      <c r="S411" t="str">
        <f t="shared" si="40"/>
        <v>Normal</v>
      </c>
      <c r="U411" t="str">
        <f t="shared" si="41"/>
        <v>2025-02</v>
      </c>
    </row>
    <row r="412" spans="1:21" x14ac:dyDescent="0.35">
      <c r="A412" t="s">
        <v>424</v>
      </c>
      <c r="B412" t="s">
        <v>916</v>
      </c>
      <c r="C412" t="s">
        <v>1412</v>
      </c>
      <c r="D412" t="s">
        <v>1505</v>
      </c>
      <c r="E412" s="9" t="s">
        <v>1507</v>
      </c>
      <c r="F412" s="9" t="s">
        <v>1510</v>
      </c>
      <c r="G412" s="7">
        <v>45673</v>
      </c>
      <c r="H412" s="5">
        <v>166</v>
      </c>
      <c r="I412" s="3">
        <v>0</v>
      </c>
      <c r="J412" t="s">
        <v>1516</v>
      </c>
      <c r="K412" t="s">
        <v>1524</v>
      </c>
      <c r="L412" t="s">
        <v>1525</v>
      </c>
      <c r="M412">
        <v>5</v>
      </c>
      <c r="N412" t="s">
        <v>1527</v>
      </c>
      <c r="O412">
        <f t="shared" si="36"/>
        <v>2025</v>
      </c>
      <c r="P412">
        <f t="shared" si="37"/>
        <v>1</v>
      </c>
      <c r="Q412" s="3">
        <f t="shared" si="38"/>
        <v>4.830111111111111</v>
      </c>
      <c r="R412">
        <f t="shared" si="39"/>
        <v>0</v>
      </c>
      <c r="S412" t="str">
        <f t="shared" si="40"/>
        <v>Normal</v>
      </c>
      <c r="U412" t="str">
        <f t="shared" si="41"/>
        <v>2025-01</v>
      </c>
    </row>
    <row r="413" spans="1:21" x14ac:dyDescent="0.35">
      <c r="A413" t="s">
        <v>425</v>
      </c>
      <c r="B413" t="s">
        <v>917</v>
      </c>
      <c r="C413" t="s">
        <v>1413</v>
      </c>
      <c r="D413" t="s">
        <v>1504</v>
      </c>
      <c r="E413" s="9" t="s">
        <v>1507</v>
      </c>
      <c r="F413" s="9" t="s">
        <v>1510</v>
      </c>
      <c r="G413" s="7">
        <v>45779</v>
      </c>
      <c r="H413" s="5">
        <v>16</v>
      </c>
      <c r="I413" s="3">
        <v>0</v>
      </c>
      <c r="J413" t="s">
        <v>1516</v>
      </c>
      <c r="K413" t="s">
        <v>1521</v>
      </c>
      <c r="L413" t="s">
        <v>1526</v>
      </c>
      <c r="M413">
        <v>16</v>
      </c>
      <c r="N413" t="s">
        <v>1528</v>
      </c>
      <c r="O413">
        <f t="shared" si="36"/>
        <v>2025</v>
      </c>
      <c r="P413">
        <f t="shared" si="37"/>
        <v>5</v>
      </c>
      <c r="Q413" s="3">
        <f t="shared" si="38"/>
        <v>4.8843820224719101</v>
      </c>
      <c r="R413">
        <f t="shared" si="39"/>
        <v>1</v>
      </c>
      <c r="S413" t="str">
        <f t="shared" si="40"/>
        <v>Normal</v>
      </c>
      <c r="U413" t="str">
        <f t="shared" si="41"/>
        <v>2025-05</v>
      </c>
    </row>
    <row r="414" spans="1:21" x14ac:dyDescent="0.35">
      <c r="A414" t="s">
        <v>426</v>
      </c>
      <c r="B414" t="s">
        <v>918</v>
      </c>
      <c r="C414" t="s">
        <v>1414</v>
      </c>
      <c r="D414" t="s">
        <v>1506</v>
      </c>
      <c r="E414" s="9" t="s">
        <v>1507</v>
      </c>
      <c r="F414" s="9" t="s">
        <v>1513</v>
      </c>
      <c r="G414" s="7">
        <v>45677</v>
      </c>
      <c r="H414" s="5">
        <v>144</v>
      </c>
      <c r="I414" s="3">
        <v>0</v>
      </c>
      <c r="J414" t="s">
        <v>1516</v>
      </c>
      <c r="K414" t="s">
        <v>1521</v>
      </c>
      <c r="L414" t="s">
        <v>1525</v>
      </c>
      <c r="M414">
        <v>3</v>
      </c>
      <c r="N414" t="s">
        <v>1528</v>
      </c>
      <c r="O414">
        <f t="shared" si="36"/>
        <v>2025</v>
      </c>
      <c r="P414">
        <f t="shared" si="37"/>
        <v>1</v>
      </c>
      <c r="Q414" s="3">
        <f t="shared" si="38"/>
        <v>4.9398863636363632</v>
      </c>
      <c r="R414">
        <f t="shared" si="39"/>
        <v>1</v>
      </c>
      <c r="S414" t="str">
        <f t="shared" si="40"/>
        <v>Normal</v>
      </c>
      <c r="U414" t="str">
        <f t="shared" si="41"/>
        <v>2025-01</v>
      </c>
    </row>
    <row r="415" spans="1:21" x14ac:dyDescent="0.35">
      <c r="A415" t="s">
        <v>427</v>
      </c>
      <c r="B415" t="s">
        <v>919</v>
      </c>
      <c r="C415" t="s">
        <v>1415</v>
      </c>
      <c r="D415" t="s">
        <v>1503</v>
      </c>
      <c r="E415" s="9" t="s">
        <v>1508</v>
      </c>
      <c r="F415" s="9" t="s">
        <v>1511</v>
      </c>
      <c r="G415" s="7">
        <v>45796</v>
      </c>
      <c r="H415" s="5">
        <v>58</v>
      </c>
      <c r="I415" s="3">
        <v>0</v>
      </c>
      <c r="J415" t="s">
        <v>1516</v>
      </c>
      <c r="K415" t="s">
        <v>1521</v>
      </c>
      <c r="L415" t="s">
        <v>1525</v>
      </c>
      <c r="M415">
        <v>43</v>
      </c>
      <c r="N415" t="s">
        <v>1528</v>
      </c>
      <c r="O415">
        <f t="shared" si="36"/>
        <v>2025</v>
      </c>
      <c r="P415">
        <f t="shared" si="37"/>
        <v>5</v>
      </c>
      <c r="Q415" s="3">
        <f t="shared" si="38"/>
        <v>4.9966666666666661</v>
      </c>
      <c r="R415">
        <f t="shared" si="39"/>
        <v>1</v>
      </c>
      <c r="S415" t="str">
        <f t="shared" si="40"/>
        <v>Normal</v>
      </c>
      <c r="U415" t="str">
        <f t="shared" si="41"/>
        <v>2025-05</v>
      </c>
    </row>
    <row r="416" spans="1:21" x14ac:dyDescent="0.35">
      <c r="A416" t="s">
        <v>428</v>
      </c>
      <c r="B416" t="s">
        <v>920</v>
      </c>
      <c r="C416" t="s">
        <v>1416</v>
      </c>
      <c r="D416" t="s">
        <v>1505</v>
      </c>
      <c r="E416" s="9" t="s">
        <v>1507</v>
      </c>
      <c r="F416" s="9" t="s">
        <v>1515</v>
      </c>
      <c r="G416" s="7">
        <v>45780</v>
      </c>
      <c r="H416" s="5">
        <v>95</v>
      </c>
      <c r="I416" s="3">
        <v>35.92</v>
      </c>
      <c r="J416" t="s">
        <v>1520</v>
      </c>
      <c r="K416" t="s">
        <v>1523</v>
      </c>
      <c r="L416" t="s">
        <v>1526</v>
      </c>
      <c r="M416">
        <v>6</v>
      </c>
      <c r="N416" t="s">
        <v>1528</v>
      </c>
      <c r="O416">
        <f t="shared" si="36"/>
        <v>2025</v>
      </c>
      <c r="P416">
        <f t="shared" si="37"/>
        <v>5</v>
      </c>
      <c r="Q416" s="3">
        <f t="shared" si="38"/>
        <v>5.0547674418604647</v>
      </c>
      <c r="R416">
        <f t="shared" si="39"/>
        <v>0</v>
      </c>
      <c r="S416" t="str">
        <f t="shared" si="40"/>
        <v>Normal</v>
      </c>
      <c r="U416" t="str">
        <f t="shared" si="41"/>
        <v>2025-05</v>
      </c>
    </row>
    <row r="417" spans="1:21" x14ac:dyDescent="0.35">
      <c r="A417" t="s">
        <v>429</v>
      </c>
      <c r="B417" t="s">
        <v>921</v>
      </c>
      <c r="C417" t="s">
        <v>1417</v>
      </c>
      <c r="D417" t="s">
        <v>1506</v>
      </c>
      <c r="E417" s="9" t="s">
        <v>1509</v>
      </c>
      <c r="F417" s="9" t="s">
        <v>1513</v>
      </c>
      <c r="G417" s="7">
        <v>45657</v>
      </c>
      <c r="H417" s="5">
        <v>86</v>
      </c>
      <c r="I417" s="3">
        <v>0</v>
      </c>
      <c r="J417" t="s">
        <v>1516</v>
      </c>
      <c r="K417" t="s">
        <v>1524</v>
      </c>
      <c r="L417" t="s">
        <v>1526</v>
      </c>
      <c r="M417">
        <v>17</v>
      </c>
      <c r="N417" t="s">
        <v>1528</v>
      </c>
      <c r="O417">
        <f t="shared" si="36"/>
        <v>2024</v>
      </c>
      <c r="P417">
        <f t="shared" si="37"/>
        <v>12</v>
      </c>
      <c r="Q417" s="3">
        <f t="shared" si="38"/>
        <v>4.6916470588235288</v>
      </c>
      <c r="R417">
        <f t="shared" si="39"/>
        <v>0</v>
      </c>
      <c r="S417" t="str">
        <f t="shared" si="40"/>
        <v>Normal</v>
      </c>
      <c r="U417" t="str">
        <f t="shared" si="41"/>
        <v>2024-12</v>
      </c>
    </row>
    <row r="418" spans="1:21" x14ac:dyDescent="0.35">
      <c r="A418" t="s">
        <v>430</v>
      </c>
      <c r="B418" t="s">
        <v>922</v>
      </c>
      <c r="C418" t="s">
        <v>1418</v>
      </c>
      <c r="D418" t="s">
        <v>1506</v>
      </c>
      <c r="E418" s="9" t="s">
        <v>1507</v>
      </c>
      <c r="F418" s="9" t="s">
        <v>1515</v>
      </c>
      <c r="G418" s="7">
        <v>45663</v>
      </c>
      <c r="H418" s="5">
        <v>12</v>
      </c>
      <c r="I418" s="3">
        <v>1.44</v>
      </c>
      <c r="J418" t="s">
        <v>1517</v>
      </c>
      <c r="K418" t="s">
        <v>1521</v>
      </c>
      <c r="L418" t="s">
        <v>1526</v>
      </c>
      <c r="M418">
        <v>15</v>
      </c>
      <c r="N418" t="s">
        <v>1528</v>
      </c>
      <c r="O418">
        <f t="shared" si="36"/>
        <v>2025</v>
      </c>
      <c r="P418">
        <f t="shared" si="37"/>
        <v>1</v>
      </c>
      <c r="Q418" s="3">
        <f t="shared" si="38"/>
        <v>4.7474999999999996</v>
      </c>
      <c r="R418">
        <f t="shared" si="39"/>
        <v>1</v>
      </c>
      <c r="S418" t="str">
        <f t="shared" si="40"/>
        <v>Normal</v>
      </c>
      <c r="U418" t="str">
        <f t="shared" si="41"/>
        <v>2025-01</v>
      </c>
    </row>
    <row r="419" spans="1:21" x14ac:dyDescent="0.35">
      <c r="A419" t="s">
        <v>431</v>
      </c>
      <c r="B419" t="s">
        <v>923</v>
      </c>
      <c r="C419" t="s">
        <v>1419</v>
      </c>
      <c r="D419" t="s">
        <v>1505</v>
      </c>
      <c r="E419" s="9" t="s">
        <v>1509</v>
      </c>
      <c r="F419" s="9" t="s">
        <v>1514</v>
      </c>
      <c r="G419" s="7">
        <v>45811</v>
      </c>
      <c r="H419" s="5">
        <v>8</v>
      </c>
      <c r="I419" s="3">
        <v>2.1</v>
      </c>
      <c r="J419" t="s">
        <v>1517</v>
      </c>
      <c r="K419" t="s">
        <v>1523</v>
      </c>
      <c r="L419" t="s">
        <v>1526</v>
      </c>
      <c r="M419">
        <v>44</v>
      </c>
      <c r="N419" t="s">
        <v>1528</v>
      </c>
      <c r="O419">
        <f t="shared" si="36"/>
        <v>2025</v>
      </c>
      <c r="P419">
        <f t="shared" si="37"/>
        <v>6</v>
      </c>
      <c r="Q419" s="3">
        <f t="shared" si="38"/>
        <v>4.7873493975903614</v>
      </c>
      <c r="R419">
        <f t="shared" si="39"/>
        <v>0</v>
      </c>
      <c r="S419" t="str">
        <f t="shared" si="40"/>
        <v>Normal</v>
      </c>
      <c r="U419" t="str">
        <f t="shared" si="41"/>
        <v>2025-06</v>
      </c>
    </row>
    <row r="420" spans="1:21" x14ac:dyDescent="0.35">
      <c r="A420" t="s">
        <v>432</v>
      </c>
      <c r="B420" t="s">
        <v>924</v>
      </c>
      <c r="C420" t="s">
        <v>1420</v>
      </c>
      <c r="D420" t="s">
        <v>1502</v>
      </c>
      <c r="E420" s="9" t="s">
        <v>1508</v>
      </c>
      <c r="F420" s="9" t="s">
        <v>1511</v>
      </c>
      <c r="G420" s="7">
        <v>45755</v>
      </c>
      <c r="H420" s="5">
        <v>180</v>
      </c>
      <c r="I420" s="3">
        <v>0</v>
      </c>
      <c r="J420" t="s">
        <v>1516</v>
      </c>
      <c r="K420" t="s">
        <v>1521</v>
      </c>
      <c r="L420" t="s">
        <v>1525</v>
      </c>
      <c r="M420">
        <v>8</v>
      </c>
      <c r="N420" t="s">
        <v>1527</v>
      </c>
      <c r="O420">
        <f t="shared" si="36"/>
        <v>2025</v>
      </c>
      <c r="P420">
        <f t="shared" si="37"/>
        <v>4</v>
      </c>
      <c r="Q420" s="3">
        <f t="shared" si="38"/>
        <v>4.8201219512195115</v>
      </c>
      <c r="R420">
        <f t="shared" si="39"/>
        <v>1</v>
      </c>
      <c r="S420" t="str">
        <f t="shared" si="40"/>
        <v>Suspicious</v>
      </c>
      <c r="U420" t="str">
        <f t="shared" si="41"/>
        <v>2025-04</v>
      </c>
    </row>
    <row r="421" spans="1:21" x14ac:dyDescent="0.35">
      <c r="A421" t="s">
        <v>433</v>
      </c>
      <c r="B421" t="s">
        <v>925</v>
      </c>
      <c r="C421" t="s">
        <v>1421</v>
      </c>
      <c r="D421" t="s">
        <v>1505</v>
      </c>
      <c r="E421" s="9" t="s">
        <v>1508</v>
      </c>
      <c r="F421" s="9" t="s">
        <v>1511</v>
      </c>
      <c r="G421" s="7">
        <v>45804</v>
      </c>
      <c r="H421" s="5">
        <v>35</v>
      </c>
      <c r="I421" s="3">
        <v>13.33</v>
      </c>
      <c r="J421" t="s">
        <v>1520</v>
      </c>
      <c r="K421" t="s">
        <v>1521</v>
      </c>
      <c r="L421" t="s">
        <v>1526</v>
      </c>
      <c r="M421">
        <v>42</v>
      </c>
      <c r="N421" t="s">
        <v>1528</v>
      </c>
      <c r="O421">
        <f t="shared" si="36"/>
        <v>2025</v>
      </c>
      <c r="P421">
        <f t="shared" si="37"/>
        <v>5</v>
      </c>
      <c r="Q421" s="3">
        <f t="shared" si="38"/>
        <v>4.8796296296296289</v>
      </c>
      <c r="R421">
        <f t="shared" si="39"/>
        <v>1</v>
      </c>
      <c r="S421" t="str">
        <f t="shared" si="40"/>
        <v>Normal</v>
      </c>
      <c r="U421" t="str">
        <f t="shared" si="41"/>
        <v>2025-05</v>
      </c>
    </row>
    <row r="422" spans="1:21" x14ac:dyDescent="0.35">
      <c r="A422" t="s">
        <v>434</v>
      </c>
      <c r="B422" t="s">
        <v>926</v>
      </c>
      <c r="C422" t="s">
        <v>1422</v>
      </c>
      <c r="D422" t="s">
        <v>1502</v>
      </c>
      <c r="E422" s="9" t="s">
        <v>1507</v>
      </c>
      <c r="F422" s="9" t="s">
        <v>1514</v>
      </c>
      <c r="G422" s="7">
        <v>45767</v>
      </c>
      <c r="H422" s="5">
        <v>97</v>
      </c>
      <c r="I422" s="3">
        <v>3.6</v>
      </c>
      <c r="J422" t="s">
        <v>1518</v>
      </c>
      <c r="K422" t="s">
        <v>1524</v>
      </c>
      <c r="L422" t="s">
        <v>1526</v>
      </c>
      <c r="M422">
        <v>14</v>
      </c>
      <c r="N422" t="s">
        <v>1528</v>
      </c>
      <c r="O422">
        <f t="shared" si="36"/>
        <v>2025</v>
      </c>
      <c r="P422">
        <f t="shared" si="37"/>
        <v>4</v>
      </c>
      <c r="Q422" s="3">
        <f t="shared" si="38"/>
        <v>4.7739999999999991</v>
      </c>
      <c r="R422">
        <f t="shared" si="39"/>
        <v>0</v>
      </c>
      <c r="S422" t="str">
        <f t="shared" si="40"/>
        <v>Normal</v>
      </c>
      <c r="U422" t="str">
        <f t="shared" si="41"/>
        <v>2025-04</v>
      </c>
    </row>
    <row r="423" spans="1:21" x14ac:dyDescent="0.35">
      <c r="A423" t="s">
        <v>435</v>
      </c>
      <c r="B423" t="s">
        <v>927</v>
      </c>
      <c r="C423" t="s">
        <v>1423</v>
      </c>
      <c r="D423" t="s">
        <v>1506</v>
      </c>
      <c r="E423" s="9" t="s">
        <v>1508</v>
      </c>
      <c r="F423" s="9" t="s">
        <v>1514</v>
      </c>
      <c r="G423" s="7">
        <v>45643</v>
      </c>
      <c r="H423" s="5">
        <v>92</v>
      </c>
      <c r="I423" s="3">
        <v>0</v>
      </c>
      <c r="J423" t="s">
        <v>1516</v>
      </c>
      <c r="K423" t="s">
        <v>1521</v>
      </c>
      <c r="L423" t="s">
        <v>1526</v>
      </c>
      <c r="M423">
        <v>31</v>
      </c>
      <c r="N423" t="s">
        <v>1528</v>
      </c>
      <c r="O423">
        <f t="shared" si="36"/>
        <v>2024</v>
      </c>
      <c r="P423">
        <f t="shared" si="37"/>
        <v>12</v>
      </c>
      <c r="Q423" s="3">
        <f t="shared" si="38"/>
        <v>4.7888607594936712</v>
      </c>
      <c r="R423">
        <f t="shared" si="39"/>
        <v>1</v>
      </c>
      <c r="S423" t="str">
        <f t="shared" si="40"/>
        <v>Normal</v>
      </c>
      <c r="U423" t="str">
        <f t="shared" si="41"/>
        <v>2024-12</v>
      </c>
    </row>
    <row r="424" spans="1:21" x14ac:dyDescent="0.35">
      <c r="A424" t="s">
        <v>436</v>
      </c>
      <c r="B424" t="s">
        <v>928</v>
      </c>
      <c r="C424" t="s">
        <v>1424</v>
      </c>
      <c r="D424" t="s">
        <v>1504</v>
      </c>
      <c r="E424" s="9" t="s">
        <v>1507</v>
      </c>
      <c r="F424" s="9" t="s">
        <v>1514</v>
      </c>
      <c r="G424" s="7">
        <v>45700</v>
      </c>
      <c r="H424" s="5">
        <v>166</v>
      </c>
      <c r="I424" s="3">
        <v>0</v>
      </c>
      <c r="J424" t="s">
        <v>1516</v>
      </c>
      <c r="K424" t="s">
        <v>1521</v>
      </c>
      <c r="L424" t="s">
        <v>1525</v>
      </c>
      <c r="M424">
        <v>43</v>
      </c>
      <c r="N424" t="s">
        <v>1527</v>
      </c>
      <c r="O424">
        <f t="shared" si="36"/>
        <v>2025</v>
      </c>
      <c r="P424">
        <f t="shared" si="37"/>
        <v>2</v>
      </c>
      <c r="Q424" s="3">
        <f t="shared" si="38"/>
        <v>4.8502564102564101</v>
      </c>
      <c r="R424">
        <f t="shared" si="39"/>
        <v>1</v>
      </c>
      <c r="S424" t="str">
        <f t="shared" si="40"/>
        <v>Normal</v>
      </c>
      <c r="U424" t="str">
        <f t="shared" si="41"/>
        <v>2025-02</v>
      </c>
    </row>
    <row r="425" spans="1:21" x14ac:dyDescent="0.35">
      <c r="A425" t="s">
        <v>437</v>
      </c>
      <c r="B425" t="s">
        <v>929</v>
      </c>
      <c r="C425" t="s">
        <v>1425</v>
      </c>
      <c r="D425" t="s">
        <v>1503</v>
      </c>
      <c r="E425" s="9" t="s">
        <v>1507</v>
      </c>
      <c r="F425" s="9" t="s">
        <v>1514</v>
      </c>
      <c r="G425" s="7">
        <v>45676</v>
      </c>
      <c r="H425" s="5">
        <v>146</v>
      </c>
      <c r="I425" s="3">
        <v>22.51</v>
      </c>
      <c r="J425" t="s">
        <v>1519</v>
      </c>
      <c r="K425" t="s">
        <v>1523</v>
      </c>
      <c r="L425" t="s">
        <v>1526</v>
      </c>
      <c r="M425">
        <v>25</v>
      </c>
      <c r="N425" t="s">
        <v>1528</v>
      </c>
      <c r="O425">
        <f t="shared" si="36"/>
        <v>2025</v>
      </c>
      <c r="P425">
        <f t="shared" si="37"/>
        <v>1</v>
      </c>
      <c r="Q425" s="3">
        <f t="shared" si="38"/>
        <v>4.913246753246753</v>
      </c>
      <c r="R425">
        <f t="shared" si="39"/>
        <v>0</v>
      </c>
      <c r="S425" t="str">
        <f t="shared" si="40"/>
        <v>Normal</v>
      </c>
      <c r="U425" t="str">
        <f t="shared" si="41"/>
        <v>2025-01</v>
      </c>
    </row>
    <row r="426" spans="1:21" x14ac:dyDescent="0.35">
      <c r="A426" t="s">
        <v>438</v>
      </c>
      <c r="B426" t="s">
        <v>930</v>
      </c>
      <c r="C426" t="s">
        <v>1426</v>
      </c>
      <c r="D426" t="s">
        <v>1502</v>
      </c>
      <c r="E426" s="9" t="s">
        <v>1507</v>
      </c>
      <c r="F426" s="9" t="s">
        <v>1510</v>
      </c>
      <c r="G426" s="7">
        <v>45722</v>
      </c>
      <c r="H426" s="5">
        <v>7</v>
      </c>
      <c r="I426" s="3">
        <v>29.06</v>
      </c>
      <c r="J426" t="s">
        <v>1519</v>
      </c>
      <c r="K426" t="s">
        <v>1521</v>
      </c>
      <c r="L426" t="s">
        <v>1526</v>
      </c>
      <c r="M426">
        <v>12</v>
      </c>
      <c r="N426" t="s">
        <v>1528</v>
      </c>
      <c r="O426">
        <f t="shared" si="36"/>
        <v>2025</v>
      </c>
      <c r="P426">
        <f t="shared" si="37"/>
        <v>3</v>
      </c>
      <c r="Q426" s="3">
        <f t="shared" si="38"/>
        <v>4.681710526315789</v>
      </c>
      <c r="R426">
        <f t="shared" si="39"/>
        <v>1</v>
      </c>
      <c r="S426" t="str">
        <f t="shared" si="40"/>
        <v>Normal</v>
      </c>
      <c r="U426" t="str">
        <f t="shared" si="41"/>
        <v>2025-03</v>
      </c>
    </row>
    <row r="427" spans="1:21" x14ac:dyDescent="0.35">
      <c r="A427" t="s">
        <v>439</v>
      </c>
      <c r="B427" t="s">
        <v>931</v>
      </c>
      <c r="C427" t="s">
        <v>1427</v>
      </c>
      <c r="D427" t="s">
        <v>1502</v>
      </c>
      <c r="E427" s="9" t="s">
        <v>1508</v>
      </c>
      <c r="F427" s="9" t="s">
        <v>1512</v>
      </c>
      <c r="G427" s="7">
        <v>45669</v>
      </c>
      <c r="H427" s="5">
        <v>79</v>
      </c>
      <c r="I427" s="3">
        <v>0</v>
      </c>
      <c r="J427" t="s">
        <v>1516</v>
      </c>
      <c r="K427" t="s">
        <v>1521</v>
      </c>
      <c r="L427" t="s">
        <v>1525</v>
      </c>
      <c r="M427">
        <v>30</v>
      </c>
      <c r="N427" t="s">
        <v>1528</v>
      </c>
      <c r="O427">
        <f t="shared" si="36"/>
        <v>2025</v>
      </c>
      <c r="P427">
        <f t="shared" si="37"/>
        <v>1</v>
      </c>
      <c r="Q427" s="3">
        <f t="shared" si="38"/>
        <v>4.3566666666666665</v>
      </c>
      <c r="R427">
        <f t="shared" si="39"/>
        <v>1</v>
      </c>
      <c r="S427" t="str">
        <f t="shared" si="40"/>
        <v>Normal</v>
      </c>
      <c r="U427" t="str">
        <f t="shared" si="41"/>
        <v>2025-01</v>
      </c>
    </row>
    <row r="428" spans="1:21" x14ac:dyDescent="0.35">
      <c r="A428" t="s">
        <v>440</v>
      </c>
      <c r="B428" t="s">
        <v>932</v>
      </c>
      <c r="C428" t="s">
        <v>1428</v>
      </c>
      <c r="D428" t="s">
        <v>1503</v>
      </c>
      <c r="E428" s="9" t="s">
        <v>1509</v>
      </c>
      <c r="F428" s="9" t="s">
        <v>1511</v>
      </c>
      <c r="G428" s="7">
        <v>45695</v>
      </c>
      <c r="H428" s="5">
        <v>39</v>
      </c>
      <c r="I428" s="3">
        <v>0</v>
      </c>
      <c r="J428" t="s">
        <v>1516</v>
      </c>
      <c r="K428" t="s">
        <v>1521</v>
      </c>
      <c r="L428" t="s">
        <v>1525</v>
      </c>
      <c r="M428">
        <v>12</v>
      </c>
      <c r="N428" t="s">
        <v>1528</v>
      </c>
      <c r="O428">
        <f t="shared" si="36"/>
        <v>2025</v>
      </c>
      <c r="P428">
        <f t="shared" si="37"/>
        <v>2</v>
      </c>
      <c r="Q428" s="3">
        <f t="shared" si="38"/>
        <v>4.4155405405405403</v>
      </c>
      <c r="R428">
        <f t="shared" si="39"/>
        <v>1</v>
      </c>
      <c r="S428" t="str">
        <f t="shared" si="40"/>
        <v>Normal</v>
      </c>
      <c r="U428" t="str">
        <f t="shared" si="41"/>
        <v>2025-02</v>
      </c>
    </row>
    <row r="429" spans="1:21" x14ac:dyDescent="0.35">
      <c r="A429" t="s">
        <v>441</v>
      </c>
      <c r="B429" t="s">
        <v>933</v>
      </c>
      <c r="C429" t="s">
        <v>1429</v>
      </c>
      <c r="D429" t="s">
        <v>1503</v>
      </c>
      <c r="E429" s="9" t="s">
        <v>1507</v>
      </c>
      <c r="F429" s="9" t="s">
        <v>1515</v>
      </c>
      <c r="G429" s="7">
        <v>45645</v>
      </c>
      <c r="H429" s="5">
        <v>9</v>
      </c>
      <c r="I429" s="3">
        <v>0</v>
      </c>
      <c r="J429" t="s">
        <v>1516</v>
      </c>
      <c r="K429" t="s">
        <v>1524</v>
      </c>
      <c r="L429" t="s">
        <v>1525</v>
      </c>
      <c r="M429">
        <v>23</v>
      </c>
      <c r="N429" t="s">
        <v>1528</v>
      </c>
      <c r="O429">
        <f t="shared" si="36"/>
        <v>2024</v>
      </c>
      <c r="P429">
        <f t="shared" si="37"/>
        <v>12</v>
      </c>
      <c r="Q429" s="3">
        <f t="shared" si="38"/>
        <v>4.4760273972602738</v>
      </c>
      <c r="R429">
        <f t="shared" si="39"/>
        <v>0</v>
      </c>
      <c r="S429" t="str">
        <f t="shared" si="40"/>
        <v>Normal</v>
      </c>
      <c r="U429" t="str">
        <f t="shared" si="41"/>
        <v>2024-12</v>
      </c>
    </row>
    <row r="430" spans="1:21" x14ac:dyDescent="0.35">
      <c r="A430" t="s">
        <v>442</v>
      </c>
      <c r="B430" t="s">
        <v>934</v>
      </c>
      <c r="C430" t="s">
        <v>1430</v>
      </c>
      <c r="D430" t="s">
        <v>1506</v>
      </c>
      <c r="E430" s="9" t="s">
        <v>1509</v>
      </c>
      <c r="F430" s="9" t="s">
        <v>1510</v>
      </c>
      <c r="G430" s="7">
        <v>45821</v>
      </c>
      <c r="H430" s="5">
        <v>70</v>
      </c>
      <c r="I430" s="3">
        <v>11.82</v>
      </c>
      <c r="J430" t="s">
        <v>1519</v>
      </c>
      <c r="K430" t="s">
        <v>1521</v>
      </c>
      <c r="L430" t="s">
        <v>1526</v>
      </c>
      <c r="M430">
        <v>5</v>
      </c>
      <c r="N430" t="s">
        <v>1528</v>
      </c>
      <c r="O430">
        <f t="shared" si="36"/>
        <v>2025</v>
      </c>
      <c r="P430">
        <f t="shared" si="37"/>
        <v>6</v>
      </c>
      <c r="Q430" s="3">
        <f t="shared" si="38"/>
        <v>4.5381944444444446</v>
      </c>
      <c r="R430">
        <f t="shared" si="39"/>
        <v>1</v>
      </c>
      <c r="S430" t="str">
        <f t="shared" si="40"/>
        <v>Normal</v>
      </c>
      <c r="U430" t="str">
        <f t="shared" si="41"/>
        <v>2025-06</v>
      </c>
    </row>
    <row r="431" spans="1:21" x14ac:dyDescent="0.35">
      <c r="A431" t="s">
        <v>443</v>
      </c>
      <c r="B431" t="s">
        <v>935</v>
      </c>
      <c r="C431" t="s">
        <v>1431</v>
      </c>
      <c r="D431" t="s">
        <v>1506</v>
      </c>
      <c r="E431" s="9" t="s">
        <v>1508</v>
      </c>
      <c r="F431" s="9" t="s">
        <v>1510</v>
      </c>
      <c r="G431" s="7">
        <v>45684</v>
      </c>
      <c r="H431" s="5">
        <v>156</v>
      </c>
      <c r="I431" s="3">
        <v>0</v>
      </c>
      <c r="J431" t="s">
        <v>1516</v>
      </c>
      <c r="K431" t="s">
        <v>1521</v>
      </c>
      <c r="L431" t="s">
        <v>1525</v>
      </c>
      <c r="M431">
        <v>6</v>
      </c>
      <c r="N431" t="s">
        <v>1527</v>
      </c>
      <c r="O431">
        <f t="shared" si="36"/>
        <v>2025</v>
      </c>
      <c r="P431">
        <f t="shared" si="37"/>
        <v>1</v>
      </c>
      <c r="Q431" s="3">
        <f t="shared" si="38"/>
        <v>4.4356338028169011</v>
      </c>
      <c r="R431">
        <f t="shared" si="39"/>
        <v>1</v>
      </c>
      <c r="S431" t="str">
        <f t="shared" si="40"/>
        <v>Normal</v>
      </c>
      <c r="U431" t="str">
        <f t="shared" si="41"/>
        <v>2025-01</v>
      </c>
    </row>
    <row r="432" spans="1:21" x14ac:dyDescent="0.35">
      <c r="A432" t="s">
        <v>444</v>
      </c>
      <c r="B432" t="s">
        <v>936</v>
      </c>
      <c r="C432" t="s">
        <v>1432</v>
      </c>
      <c r="D432" t="s">
        <v>1503</v>
      </c>
      <c r="E432" s="9" t="s">
        <v>1507</v>
      </c>
      <c r="F432" s="9" t="s">
        <v>1514</v>
      </c>
      <c r="G432" s="7">
        <v>45641</v>
      </c>
      <c r="H432" s="5">
        <v>159</v>
      </c>
      <c r="I432" s="3">
        <v>0</v>
      </c>
      <c r="J432" t="s">
        <v>1516</v>
      </c>
      <c r="K432" t="s">
        <v>1521</v>
      </c>
      <c r="L432" t="s">
        <v>1525</v>
      </c>
      <c r="M432">
        <v>14</v>
      </c>
      <c r="N432" t="s">
        <v>1527</v>
      </c>
      <c r="O432">
        <f t="shared" si="36"/>
        <v>2024</v>
      </c>
      <c r="P432">
        <f t="shared" si="37"/>
        <v>12</v>
      </c>
      <c r="Q432" s="3">
        <f t="shared" si="38"/>
        <v>4.4989999999999997</v>
      </c>
      <c r="R432">
        <f t="shared" si="39"/>
        <v>1</v>
      </c>
      <c r="S432" t="str">
        <f t="shared" si="40"/>
        <v>Normal</v>
      </c>
      <c r="U432" t="str">
        <f t="shared" si="41"/>
        <v>2024-12</v>
      </c>
    </row>
    <row r="433" spans="1:21" x14ac:dyDescent="0.35">
      <c r="A433" t="s">
        <v>445</v>
      </c>
      <c r="B433" t="s">
        <v>937</v>
      </c>
      <c r="C433" t="s">
        <v>1433</v>
      </c>
      <c r="D433" t="s">
        <v>1503</v>
      </c>
      <c r="E433" s="9" t="s">
        <v>1509</v>
      </c>
      <c r="F433" s="9" t="s">
        <v>1511</v>
      </c>
      <c r="G433" s="7">
        <v>45680</v>
      </c>
      <c r="H433" s="5">
        <v>139</v>
      </c>
      <c r="I433" s="3">
        <v>0</v>
      </c>
      <c r="J433" t="s">
        <v>1516</v>
      </c>
      <c r="K433" t="s">
        <v>1521</v>
      </c>
      <c r="L433" t="s">
        <v>1525</v>
      </c>
      <c r="M433">
        <v>37</v>
      </c>
      <c r="N433" t="s">
        <v>1528</v>
      </c>
      <c r="O433">
        <f t="shared" si="36"/>
        <v>2025</v>
      </c>
      <c r="P433">
        <f t="shared" si="37"/>
        <v>1</v>
      </c>
      <c r="Q433" s="3">
        <f t="shared" si="38"/>
        <v>4.5642028985507244</v>
      </c>
      <c r="R433">
        <f t="shared" si="39"/>
        <v>1</v>
      </c>
      <c r="S433" t="str">
        <f t="shared" si="40"/>
        <v>Normal</v>
      </c>
      <c r="U433" t="str">
        <f t="shared" si="41"/>
        <v>2025-01</v>
      </c>
    </row>
    <row r="434" spans="1:21" x14ac:dyDescent="0.35">
      <c r="A434" t="s">
        <v>446</v>
      </c>
      <c r="B434" t="s">
        <v>938</v>
      </c>
      <c r="C434" t="s">
        <v>1434</v>
      </c>
      <c r="D434" t="s">
        <v>1502</v>
      </c>
      <c r="E434" s="9" t="s">
        <v>1508</v>
      </c>
      <c r="F434" s="9" t="s">
        <v>1511</v>
      </c>
      <c r="G434" s="7">
        <v>45778</v>
      </c>
      <c r="H434" s="5">
        <v>25</v>
      </c>
      <c r="I434" s="3">
        <v>0</v>
      </c>
      <c r="J434" t="s">
        <v>1516</v>
      </c>
      <c r="K434" t="s">
        <v>1521</v>
      </c>
      <c r="L434" t="s">
        <v>1526</v>
      </c>
      <c r="M434">
        <v>20</v>
      </c>
      <c r="N434" t="s">
        <v>1528</v>
      </c>
      <c r="O434">
        <f t="shared" si="36"/>
        <v>2025</v>
      </c>
      <c r="P434">
        <f t="shared" si="37"/>
        <v>5</v>
      </c>
      <c r="Q434" s="3">
        <f t="shared" si="38"/>
        <v>4.6313235294117652</v>
      </c>
      <c r="R434">
        <f t="shared" si="39"/>
        <v>1</v>
      </c>
      <c r="S434" t="str">
        <f t="shared" si="40"/>
        <v>Normal</v>
      </c>
      <c r="U434" t="str">
        <f t="shared" si="41"/>
        <v>2025-05</v>
      </c>
    </row>
    <row r="435" spans="1:21" x14ac:dyDescent="0.35">
      <c r="A435" t="s">
        <v>447</v>
      </c>
      <c r="B435" t="s">
        <v>939</v>
      </c>
      <c r="C435" t="s">
        <v>1435</v>
      </c>
      <c r="D435" t="s">
        <v>1506</v>
      </c>
      <c r="E435" s="9" t="s">
        <v>1508</v>
      </c>
      <c r="F435" s="9" t="s">
        <v>1514</v>
      </c>
      <c r="G435" s="7">
        <v>45739</v>
      </c>
      <c r="H435" s="5">
        <v>80</v>
      </c>
      <c r="I435" s="3">
        <v>0</v>
      </c>
      <c r="J435" t="s">
        <v>1516</v>
      </c>
      <c r="K435" t="s">
        <v>1524</v>
      </c>
      <c r="L435" t="s">
        <v>1525</v>
      </c>
      <c r="M435">
        <v>3</v>
      </c>
      <c r="N435" t="s">
        <v>1528</v>
      </c>
      <c r="O435">
        <f t="shared" si="36"/>
        <v>2025</v>
      </c>
      <c r="P435">
        <f t="shared" si="37"/>
        <v>3</v>
      </c>
      <c r="Q435" s="3">
        <f t="shared" si="38"/>
        <v>4.7004477611940301</v>
      </c>
      <c r="R435">
        <f t="shared" si="39"/>
        <v>0</v>
      </c>
      <c r="S435" t="str">
        <f t="shared" si="40"/>
        <v>Normal</v>
      </c>
      <c r="U435" t="str">
        <f t="shared" si="41"/>
        <v>2025-03</v>
      </c>
    </row>
    <row r="436" spans="1:21" x14ac:dyDescent="0.35">
      <c r="A436" t="s">
        <v>448</v>
      </c>
      <c r="B436" t="s">
        <v>940</v>
      </c>
      <c r="C436" t="s">
        <v>1436</v>
      </c>
      <c r="D436" t="s">
        <v>1503</v>
      </c>
      <c r="E436" s="9" t="s">
        <v>1507</v>
      </c>
      <c r="F436" s="9" t="s">
        <v>1514</v>
      </c>
      <c r="G436" s="7">
        <v>45773</v>
      </c>
      <c r="H436" s="5">
        <v>101</v>
      </c>
      <c r="I436" s="3">
        <v>0</v>
      </c>
      <c r="J436" t="s">
        <v>1516</v>
      </c>
      <c r="K436" t="s">
        <v>1521</v>
      </c>
      <c r="L436" t="s">
        <v>1525</v>
      </c>
      <c r="M436">
        <v>15</v>
      </c>
      <c r="N436" t="s">
        <v>1528</v>
      </c>
      <c r="O436">
        <f t="shared" si="36"/>
        <v>2025</v>
      </c>
      <c r="P436">
        <f t="shared" si="37"/>
        <v>4</v>
      </c>
      <c r="Q436" s="3">
        <f t="shared" si="38"/>
        <v>4.7716666666666665</v>
      </c>
      <c r="R436">
        <f t="shared" si="39"/>
        <v>1</v>
      </c>
      <c r="S436" t="str">
        <f t="shared" si="40"/>
        <v>Normal</v>
      </c>
      <c r="U436" t="str">
        <f t="shared" si="41"/>
        <v>2025-04</v>
      </c>
    </row>
    <row r="437" spans="1:21" x14ac:dyDescent="0.35">
      <c r="A437" t="s">
        <v>449</v>
      </c>
      <c r="B437" t="s">
        <v>941</v>
      </c>
      <c r="C437" t="s">
        <v>1437</v>
      </c>
      <c r="D437" t="s">
        <v>1503</v>
      </c>
      <c r="E437" s="9" t="s">
        <v>1507</v>
      </c>
      <c r="F437" s="9" t="s">
        <v>1515</v>
      </c>
      <c r="G437" s="7">
        <v>45645</v>
      </c>
      <c r="H437" s="5">
        <v>176</v>
      </c>
      <c r="I437" s="3">
        <v>0</v>
      </c>
      <c r="J437" t="s">
        <v>1516</v>
      </c>
      <c r="K437" t="s">
        <v>1521</v>
      </c>
      <c r="L437" t="s">
        <v>1525</v>
      </c>
      <c r="M437">
        <v>18</v>
      </c>
      <c r="N437" t="s">
        <v>1527</v>
      </c>
      <c r="O437">
        <f t="shared" si="36"/>
        <v>2024</v>
      </c>
      <c r="P437">
        <f t="shared" si="37"/>
        <v>12</v>
      </c>
      <c r="Q437" s="3">
        <f t="shared" si="38"/>
        <v>4.8450769230769231</v>
      </c>
      <c r="R437">
        <f t="shared" si="39"/>
        <v>1</v>
      </c>
      <c r="S437" t="str">
        <f t="shared" si="40"/>
        <v>Suspicious</v>
      </c>
      <c r="U437" t="str">
        <f t="shared" si="41"/>
        <v>2024-12</v>
      </c>
    </row>
    <row r="438" spans="1:21" x14ac:dyDescent="0.35">
      <c r="A438" t="s">
        <v>450</v>
      </c>
      <c r="B438" t="s">
        <v>942</v>
      </c>
      <c r="C438" t="s">
        <v>1438</v>
      </c>
      <c r="D438" t="s">
        <v>1502</v>
      </c>
      <c r="E438" s="9" t="s">
        <v>1509</v>
      </c>
      <c r="F438" s="9" t="s">
        <v>1511</v>
      </c>
      <c r="G438" s="7">
        <v>45708</v>
      </c>
      <c r="H438" s="5">
        <v>101</v>
      </c>
      <c r="I438" s="3">
        <v>0</v>
      </c>
      <c r="J438" t="s">
        <v>1516</v>
      </c>
      <c r="K438" t="s">
        <v>1524</v>
      </c>
      <c r="L438" t="s">
        <v>1525</v>
      </c>
      <c r="M438">
        <v>5</v>
      </c>
      <c r="N438" t="s">
        <v>1528</v>
      </c>
      <c r="O438">
        <f t="shared" si="36"/>
        <v>2025</v>
      </c>
      <c r="P438">
        <f t="shared" si="37"/>
        <v>2</v>
      </c>
      <c r="Q438" s="3">
        <f t="shared" si="38"/>
        <v>4.9207812500000001</v>
      </c>
      <c r="R438">
        <f t="shared" si="39"/>
        <v>0</v>
      </c>
      <c r="S438" t="str">
        <f t="shared" si="40"/>
        <v>Normal</v>
      </c>
      <c r="U438" t="str">
        <f t="shared" si="41"/>
        <v>2025-02</v>
      </c>
    </row>
    <row r="439" spans="1:21" x14ac:dyDescent="0.35">
      <c r="A439" t="s">
        <v>451</v>
      </c>
      <c r="B439" t="s">
        <v>943</v>
      </c>
      <c r="C439" t="s">
        <v>1439</v>
      </c>
      <c r="D439" t="s">
        <v>1505</v>
      </c>
      <c r="E439" s="9" t="s">
        <v>1507</v>
      </c>
      <c r="F439" s="9" t="s">
        <v>1513</v>
      </c>
      <c r="G439" s="7">
        <v>45797</v>
      </c>
      <c r="H439" s="5">
        <v>147</v>
      </c>
      <c r="I439" s="3">
        <v>32.049999999999997</v>
      </c>
      <c r="J439" t="s">
        <v>1518</v>
      </c>
      <c r="K439" t="s">
        <v>1524</v>
      </c>
      <c r="L439" t="s">
        <v>1526</v>
      </c>
      <c r="M439">
        <v>11</v>
      </c>
      <c r="N439" t="s">
        <v>1528</v>
      </c>
      <c r="O439">
        <f t="shared" si="36"/>
        <v>2025</v>
      </c>
      <c r="P439">
        <f t="shared" si="37"/>
        <v>5</v>
      </c>
      <c r="Q439" s="3">
        <f t="shared" si="38"/>
        <v>4.9988888888888887</v>
      </c>
      <c r="R439">
        <f t="shared" si="39"/>
        <v>0</v>
      </c>
      <c r="S439" t="str">
        <f t="shared" si="40"/>
        <v>Normal</v>
      </c>
      <c r="U439" t="str">
        <f t="shared" si="41"/>
        <v>2025-05</v>
      </c>
    </row>
    <row r="440" spans="1:21" x14ac:dyDescent="0.35">
      <c r="A440" t="s">
        <v>452</v>
      </c>
      <c r="B440" t="s">
        <v>944</v>
      </c>
      <c r="C440" t="s">
        <v>1440</v>
      </c>
      <c r="D440" t="s">
        <v>1503</v>
      </c>
      <c r="E440" s="9" t="s">
        <v>1508</v>
      </c>
      <c r="F440" s="9" t="s">
        <v>1512</v>
      </c>
      <c r="G440" s="7">
        <v>45667</v>
      </c>
      <c r="H440" s="5">
        <v>46</v>
      </c>
      <c r="I440" s="3">
        <v>0</v>
      </c>
      <c r="J440" t="s">
        <v>1516</v>
      </c>
      <c r="K440" t="s">
        <v>1521</v>
      </c>
      <c r="L440" t="s">
        <v>1525</v>
      </c>
      <c r="M440">
        <v>4</v>
      </c>
      <c r="N440" t="s">
        <v>1528</v>
      </c>
      <c r="O440">
        <f t="shared" si="36"/>
        <v>2025</v>
      </c>
      <c r="P440">
        <f t="shared" si="37"/>
        <v>1</v>
      </c>
      <c r="Q440" s="3">
        <f t="shared" si="38"/>
        <v>4.5625806451612902</v>
      </c>
      <c r="R440">
        <f t="shared" si="39"/>
        <v>1</v>
      </c>
      <c r="S440" t="str">
        <f t="shared" si="40"/>
        <v>Normal</v>
      </c>
      <c r="U440" t="str">
        <f t="shared" si="41"/>
        <v>2025-01</v>
      </c>
    </row>
    <row r="441" spans="1:21" x14ac:dyDescent="0.35">
      <c r="A441" t="s">
        <v>453</v>
      </c>
      <c r="B441" t="s">
        <v>945</v>
      </c>
      <c r="C441" t="s">
        <v>1441</v>
      </c>
      <c r="D441" t="s">
        <v>1505</v>
      </c>
      <c r="E441" s="9" t="s">
        <v>1509</v>
      </c>
      <c r="F441" s="9" t="s">
        <v>1515</v>
      </c>
      <c r="G441" s="7">
        <v>45810</v>
      </c>
      <c r="H441" s="5">
        <v>33</v>
      </c>
      <c r="I441" s="3">
        <v>0</v>
      </c>
      <c r="J441" t="s">
        <v>1516</v>
      </c>
      <c r="K441" t="s">
        <v>1523</v>
      </c>
      <c r="L441" t="s">
        <v>1525</v>
      </c>
      <c r="M441">
        <v>20</v>
      </c>
      <c r="N441" t="s">
        <v>1528</v>
      </c>
      <c r="O441">
        <f t="shared" si="36"/>
        <v>2025</v>
      </c>
      <c r="P441">
        <f t="shared" si="37"/>
        <v>6</v>
      </c>
      <c r="Q441" s="3">
        <f t="shared" si="38"/>
        <v>4.6373770491803281</v>
      </c>
      <c r="R441">
        <f t="shared" si="39"/>
        <v>0</v>
      </c>
      <c r="S441" t="str">
        <f t="shared" si="40"/>
        <v>Normal</v>
      </c>
      <c r="U441" t="str">
        <f t="shared" si="41"/>
        <v>2025-06</v>
      </c>
    </row>
    <row r="442" spans="1:21" x14ac:dyDescent="0.35">
      <c r="A442" t="s">
        <v>454</v>
      </c>
      <c r="B442" t="s">
        <v>946</v>
      </c>
      <c r="C442" t="s">
        <v>1442</v>
      </c>
      <c r="D442" t="s">
        <v>1502</v>
      </c>
      <c r="E442" s="9" t="s">
        <v>1508</v>
      </c>
      <c r="F442" s="9" t="s">
        <v>1510</v>
      </c>
      <c r="G442" s="7">
        <v>45713</v>
      </c>
      <c r="H442" s="5">
        <v>150</v>
      </c>
      <c r="I442" s="3">
        <v>0</v>
      </c>
      <c r="J442" t="s">
        <v>1516</v>
      </c>
      <c r="K442" t="s">
        <v>1521</v>
      </c>
      <c r="L442" t="s">
        <v>1525</v>
      </c>
      <c r="M442">
        <v>46</v>
      </c>
      <c r="N442" t="s">
        <v>1528</v>
      </c>
      <c r="O442">
        <f t="shared" si="36"/>
        <v>2025</v>
      </c>
      <c r="P442">
        <f t="shared" si="37"/>
        <v>2</v>
      </c>
      <c r="Q442" s="3">
        <f t="shared" si="38"/>
        <v>4.714666666666667</v>
      </c>
      <c r="R442">
        <f t="shared" si="39"/>
        <v>1</v>
      </c>
      <c r="S442" t="str">
        <f t="shared" si="40"/>
        <v>Normal</v>
      </c>
      <c r="U442" t="str">
        <f t="shared" si="41"/>
        <v>2025-02</v>
      </c>
    </row>
    <row r="443" spans="1:21" x14ac:dyDescent="0.35">
      <c r="A443" t="s">
        <v>455</v>
      </c>
      <c r="B443" t="s">
        <v>947</v>
      </c>
      <c r="C443" t="s">
        <v>1443</v>
      </c>
      <c r="D443" t="s">
        <v>1502</v>
      </c>
      <c r="E443" s="9" t="s">
        <v>1507</v>
      </c>
      <c r="F443" s="9" t="s">
        <v>1513</v>
      </c>
      <c r="G443" s="7">
        <v>45793</v>
      </c>
      <c r="H443" s="5">
        <v>166</v>
      </c>
      <c r="I443" s="3">
        <v>0</v>
      </c>
      <c r="J443" t="s">
        <v>1516</v>
      </c>
      <c r="K443" t="s">
        <v>1521</v>
      </c>
      <c r="L443" t="s">
        <v>1525</v>
      </c>
      <c r="M443">
        <v>27</v>
      </c>
      <c r="N443" t="s">
        <v>1527</v>
      </c>
      <c r="O443">
        <f t="shared" si="36"/>
        <v>2025</v>
      </c>
      <c r="P443">
        <f t="shared" si="37"/>
        <v>5</v>
      </c>
      <c r="Q443" s="3">
        <f t="shared" si="38"/>
        <v>4.7945762711864406</v>
      </c>
      <c r="R443">
        <f t="shared" si="39"/>
        <v>1</v>
      </c>
      <c r="S443" t="str">
        <f t="shared" si="40"/>
        <v>Normal</v>
      </c>
      <c r="U443" t="str">
        <f t="shared" si="41"/>
        <v>2025-05</v>
      </c>
    </row>
    <row r="444" spans="1:21" x14ac:dyDescent="0.35">
      <c r="A444" t="s">
        <v>456</v>
      </c>
      <c r="B444" t="s">
        <v>948</v>
      </c>
      <c r="C444" t="s">
        <v>1444</v>
      </c>
      <c r="D444" t="s">
        <v>1505</v>
      </c>
      <c r="E444" s="9" t="s">
        <v>1508</v>
      </c>
      <c r="F444" s="9" t="s">
        <v>1513</v>
      </c>
      <c r="G444" s="7">
        <v>45678</v>
      </c>
      <c r="H444" s="5">
        <v>96</v>
      </c>
      <c r="I444" s="3">
        <v>0</v>
      </c>
      <c r="J444" t="s">
        <v>1516</v>
      </c>
      <c r="K444" t="s">
        <v>1521</v>
      </c>
      <c r="L444" t="s">
        <v>1526</v>
      </c>
      <c r="M444">
        <v>38</v>
      </c>
      <c r="N444" t="s">
        <v>1528</v>
      </c>
      <c r="O444">
        <f t="shared" si="36"/>
        <v>2025</v>
      </c>
      <c r="P444">
        <f t="shared" si="37"/>
        <v>1</v>
      </c>
      <c r="Q444" s="3">
        <f t="shared" si="38"/>
        <v>4.8772413793103446</v>
      </c>
      <c r="R444">
        <f t="shared" si="39"/>
        <v>1</v>
      </c>
      <c r="S444" t="str">
        <f t="shared" si="40"/>
        <v>Normal</v>
      </c>
      <c r="U444" t="str">
        <f t="shared" si="41"/>
        <v>2025-01</v>
      </c>
    </row>
    <row r="445" spans="1:21" x14ac:dyDescent="0.35">
      <c r="A445" t="s">
        <v>457</v>
      </c>
      <c r="B445" t="s">
        <v>949</v>
      </c>
      <c r="C445" t="s">
        <v>1445</v>
      </c>
      <c r="D445" t="s">
        <v>1504</v>
      </c>
      <c r="E445" s="9" t="s">
        <v>1507</v>
      </c>
      <c r="F445" s="9" t="s">
        <v>1514</v>
      </c>
      <c r="G445" s="7">
        <v>45795</v>
      </c>
      <c r="H445" s="5">
        <v>51</v>
      </c>
      <c r="I445" s="3">
        <v>0</v>
      </c>
      <c r="J445" t="s">
        <v>1516</v>
      </c>
      <c r="K445" t="s">
        <v>1521</v>
      </c>
      <c r="L445" t="s">
        <v>1525</v>
      </c>
      <c r="M445">
        <v>9</v>
      </c>
      <c r="N445" t="s">
        <v>1528</v>
      </c>
      <c r="O445">
        <f t="shared" si="36"/>
        <v>2025</v>
      </c>
      <c r="P445">
        <f t="shared" si="37"/>
        <v>5</v>
      </c>
      <c r="Q445" s="3">
        <f t="shared" si="38"/>
        <v>4.9628070175438594</v>
      </c>
      <c r="R445">
        <f t="shared" si="39"/>
        <v>1</v>
      </c>
      <c r="S445" t="str">
        <f t="shared" si="40"/>
        <v>Normal</v>
      </c>
      <c r="U445" t="str">
        <f t="shared" si="41"/>
        <v>2025-05</v>
      </c>
    </row>
    <row r="446" spans="1:21" x14ac:dyDescent="0.35">
      <c r="A446" t="s">
        <v>458</v>
      </c>
      <c r="B446" t="s">
        <v>950</v>
      </c>
      <c r="C446" t="s">
        <v>1446</v>
      </c>
      <c r="D446" t="s">
        <v>1505</v>
      </c>
      <c r="E446" s="9" t="s">
        <v>1507</v>
      </c>
      <c r="F446" s="9" t="s">
        <v>1515</v>
      </c>
      <c r="G446" s="7">
        <v>45652</v>
      </c>
      <c r="H446" s="5">
        <v>96</v>
      </c>
      <c r="I446" s="3">
        <v>0</v>
      </c>
      <c r="J446" t="s">
        <v>1516</v>
      </c>
      <c r="K446" t="s">
        <v>1521</v>
      </c>
      <c r="L446" t="s">
        <v>1525</v>
      </c>
      <c r="M446">
        <v>49</v>
      </c>
      <c r="N446" t="s">
        <v>1528</v>
      </c>
      <c r="O446">
        <f t="shared" si="36"/>
        <v>2024</v>
      </c>
      <c r="P446">
        <f t="shared" si="37"/>
        <v>12</v>
      </c>
      <c r="Q446" s="3">
        <f t="shared" si="38"/>
        <v>5.0514285714285716</v>
      </c>
      <c r="R446">
        <f t="shared" si="39"/>
        <v>1</v>
      </c>
      <c r="S446" t="str">
        <f t="shared" si="40"/>
        <v>Normal</v>
      </c>
      <c r="U446" t="str">
        <f t="shared" si="41"/>
        <v>2024-12</v>
      </c>
    </row>
    <row r="447" spans="1:21" x14ac:dyDescent="0.35">
      <c r="A447" t="s">
        <v>459</v>
      </c>
      <c r="B447" t="s">
        <v>951</v>
      </c>
      <c r="C447" t="s">
        <v>1447</v>
      </c>
      <c r="D447" t="s">
        <v>1502</v>
      </c>
      <c r="E447" s="9" t="s">
        <v>1507</v>
      </c>
      <c r="F447" s="9" t="s">
        <v>1515</v>
      </c>
      <c r="G447" s="7">
        <v>45787</v>
      </c>
      <c r="H447" s="5">
        <v>114</v>
      </c>
      <c r="I447" s="3">
        <v>0</v>
      </c>
      <c r="J447" t="s">
        <v>1516</v>
      </c>
      <c r="K447" t="s">
        <v>1524</v>
      </c>
      <c r="L447" t="s">
        <v>1525</v>
      </c>
      <c r="M447">
        <v>22</v>
      </c>
      <c r="N447" t="s">
        <v>1528</v>
      </c>
      <c r="O447">
        <f t="shared" si="36"/>
        <v>2025</v>
      </c>
      <c r="P447">
        <f t="shared" si="37"/>
        <v>5</v>
      </c>
      <c r="Q447" s="3">
        <f t="shared" si="38"/>
        <v>5.143272727272727</v>
      </c>
      <c r="R447">
        <f t="shared" si="39"/>
        <v>0</v>
      </c>
      <c r="S447" t="str">
        <f t="shared" si="40"/>
        <v>Normal</v>
      </c>
      <c r="U447" t="str">
        <f t="shared" si="41"/>
        <v>2025-05</v>
      </c>
    </row>
    <row r="448" spans="1:21" x14ac:dyDescent="0.35">
      <c r="A448" t="s">
        <v>460</v>
      </c>
      <c r="B448" t="s">
        <v>952</v>
      </c>
      <c r="C448" t="s">
        <v>1448</v>
      </c>
      <c r="D448" t="s">
        <v>1506</v>
      </c>
      <c r="E448" s="9" t="s">
        <v>1508</v>
      </c>
      <c r="F448" s="9" t="s">
        <v>1511</v>
      </c>
      <c r="G448" s="7">
        <v>45654</v>
      </c>
      <c r="H448" s="5">
        <v>133</v>
      </c>
      <c r="I448" s="3">
        <v>0</v>
      </c>
      <c r="J448" t="s">
        <v>1516</v>
      </c>
      <c r="K448" t="s">
        <v>1523</v>
      </c>
      <c r="L448" t="s">
        <v>1525</v>
      </c>
      <c r="M448">
        <v>10</v>
      </c>
      <c r="N448" t="s">
        <v>1528</v>
      </c>
      <c r="O448">
        <f t="shared" si="36"/>
        <v>2024</v>
      </c>
      <c r="P448">
        <f t="shared" si="37"/>
        <v>12</v>
      </c>
      <c r="Q448" s="3">
        <f t="shared" si="38"/>
        <v>5.2385185185185188</v>
      </c>
      <c r="R448">
        <f t="shared" si="39"/>
        <v>0</v>
      </c>
      <c r="S448" t="str">
        <f t="shared" si="40"/>
        <v>Normal</v>
      </c>
      <c r="U448" t="str">
        <f t="shared" si="41"/>
        <v>2024-12</v>
      </c>
    </row>
    <row r="449" spans="1:21" x14ac:dyDescent="0.35">
      <c r="A449" t="s">
        <v>461</v>
      </c>
      <c r="B449" t="s">
        <v>896</v>
      </c>
      <c r="C449" t="s">
        <v>1449</v>
      </c>
      <c r="D449" t="s">
        <v>1503</v>
      </c>
      <c r="E449" s="9" t="s">
        <v>1507</v>
      </c>
      <c r="F449" s="9" t="s">
        <v>1512</v>
      </c>
      <c r="G449" s="7">
        <v>45755</v>
      </c>
      <c r="H449" s="5">
        <v>104</v>
      </c>
      <c r="I449" s="3">
        <v>9.94</v>
      </c>
      <c r="J449" t="s">
        <v>1518</v>
      </c>
      <c r="K449" t="s">
        <v>1523</v>
      </c>
      <c r="L449" t="s">
        <v>1526</v>
      </c>
      <c r="M449">
        <v>21</v>
      </c>
      <c r="N449" t="s">
        <v>1528</v>
      </c>
      <c r="O449">
        <f t="shared" si="36"/>
        <v>2025</v>
      </c>
      <c r="P449">
        <f t="shared" si="37"/>
        <v>4</v>
      </c>
      <c r="Q449" s="3">
        <f t="shared" si="38"/>
        <v>5.3373584905660376</v>
      </c>
      <c r="R449">
        <f t="shared" si="39"/>
        <v>0</v>
      </c>
      <c r="S449" t="str">
        <f t="shared" si="40"/>
        <v>Normal</v>
      </c>
      <c r="U449" t="str">
        <f t="shared" si="41"/>
        <v>2025-04</v>
      </c>
    </row>
    <row r="450" spans="1:21" x14ac:dyDescent="0.35">
      <c r="A450" t="s">
        <v>462</v>
      </c>
      <c r="B450" t="s">
        <v>953</v>
      </c>
      <c r="C450" t="s">
        <v>1450</v>
      </c>
      <c r="D450" t="s">
        <v>1502</v>
      </c>
      <c r="E450" s="9" t="s">
        <v>1507</v>
      </c>
      <c r="F450" s="9" t="s">
        <v>1512</v>
      </c>
      <c r="G450" s="7">
        <v>45758</v>
      </c>
      <c r="H450" s="5">
        <v>108</v>
      </c>
      <c r="I450" s="3">
        <v>0</v>
      </c>
      <c r="J450" t="s">
        <v>1516</v>
      </c>
      <c r="K450" t="s">
        <v>1522</v>
      </c>
      <c r="L450" t="s">
        <v>1525</v>
      </c>
      <c r="M450">
        <v>22</v>
      </c>
      <c r="N450" t="s">
        <v>1528</v>
      </c>
      <c r="O450">
        <f t="shared" si="36"/>
        <v>2025</v>
      </c>
      <c r="P450">
        <f t="shared" si="37"/>
        <v>4</v>
      </c>
      <c r="Q450" s="3">
        <f t="shared" si="38"/>
        <v>5.2488461538461539</v>
      </c>
      <c r="R450">
        <f t="shared" si="39"/>
        <v>0</v>
      </c>
      <c r="S450" t="str">
        <f t="shared" si="40"/>
        <v>Normal</v>
      </c>
      <c r="U450" t="str">
        <f t="shared" si="41"/>
        <v>2025-04</v>
      </c>
    </row>
    <row r="451" spans="1:21" x14ac:dyDescent="0.35">
      <c r="A451" t="s">
        <v>463</v>
      </c>
      <c r="B451" t="s">
        <v>954</v>
      </c>
      <c r="C451" t="s">
        <v>1451</v>
      </c>
      <c r="D451" t="s">
        <v>1503</v>
      </c>
      <c r="E451" s="9" t="s">
        <v>1508</v>
      </c>
      <c r="F451" s="9" t="s">
        <v>1510</v>
      </c>
      <c r="G451" s="7">
        <v>45724</v>
      </c>
      <c r="H451" s="5">
        <v>63</v>
      </c>
      <c r="I451" s="3">
        <v>0</v>
      </c>
      <c r="J451" t="s">
        <v>1516</v>
      </c>
      <c r="K451" t="s">
        <v>1521</v>
      </c>
      <c r="L451" t="s">
        <v>1525</v>
      </c>
      <c r="M451">
        <v>25</v>
      </c>
      <c r="N451" t="s">
        <v>1528</v>
      </c>
      <c r="O451">
        <f t="shared" ref="O451:O501" si="42">YEAR(G451)</f>
        <v>2025</v>
      </c>
      <c r="P451">
        <f t="shared" ref="P451:P501" si="43">MONTH(G451)</f>
        <v>3</v>
      </c>
      <c r="Q451" s="3">
        <f t="shared" ref="Q451:Q501" si="44">SUM(I451:I950)/COUNTA(B451:B950)</f>
        <v>5.3517647058823528</v>
      </c>
      <c r="R451">
        <f t="shared" ref="R451:R501" si="45">IF(K451="Completed",1,0)</f>
        <v>1</v>
      </c>
      <c r="S451" t="str">
        <f t="shared" ref="S451:S501" si="46">IF((H451&gt;$T$2),"Suspicious","Normal")</f>
        <v>Normal</v>
      </c>
      <c r="U451" t="str">
        <f t="shared" ref="U451:U501" si="47">TEXT(G451,"yyyy-mm")</f>
        <v>2025-03</v>
      </c>
    </row>
    <row r="452" spans="1:21" x14ac:dyDescent="0.35">
      <c r="A452" t="s">
        <v>464</v>
      </c>
      <c r="B452" t="s">
        <v>955</v>
      </c>
      <c r="C452" t="s">
        <v>1452</v>
      </c>
      <c r="D452" t="s">
        <v>1506</v>
      </c>
      <c r="E452" s="9" t="s">
        <v>1508</v>
      </c>
      <c r="F452" s="9" t="s">
        <v>1512</v>
      </c>
      <c r="G452" s="7">
        <v>45660</v>
      </c>
      <c r="H452" s="5">
        <v>33</v>
      </c>
      <c r="I452" s="3">
        <v>0</v>
      </c>
      <c r="J452" t="s">
        <v>1516</v>
      </c>
      <c r="K452" t="s">
        <v>1521</v>
      </c>
      <c r="L452" t="s">
        <v>1525</v>
      </c>
      <c r="M452">
        <v>32</v>
      </c>
      <c r="N452" t="s">
        <v>1528</v>
      </c>
      <c r="O452">
        <f t="shared" si="42"/>
        <v>2025</v>
      </c>
      <c r="P452">
        <f t="shared" si="43"/>
        <v>1</v>
      </c>
      <c r="Q452" s="3">
        <f t="shared" si="44"/>
        <v>5.4588000000000001</v>
      </c>
      <c r="R452">
        <f t="shared" si="45"/>
        <v>1</v>
      </c>
      <c r="S452" t="str">
        <f t="shared" si="46"/>
        <v>Normal</v>
      </c>
      <c r="U452" t="str">
        <f t="shared" si="47"/>
        <v>2025-01</v>
      </c>
    </row>
    <row r="453" spans="1:21" x14ac:dyDescent="0.35">
      <c r="A453" t="s">
        <v>465</v>
      </c>
      <c r="B453" t="s">
        <v>956</v>
      </c>
      <c r="C453" t="s">
        <v>1453</v>
      </c>
      <c r="D453" t="s">
        <v>1504</v>
      </c>
      <c r="E453" s="9" t="s">
        <v>1508</v>
      </c>
      <c r="F453" s="9" t="s">
        <v>1513</v>
      </c>
      <c r="G453" s="7">
        <v>45791</v>
      </c>
      <c r="H453" s="5">
        <v>39</v>
      </c>
      <c r="I453" s="3">
        <v>0</v>
      </c>
      <c r="J453" t="s">
        <v>1516</v>
      </c>
      <c r="K453" t="s">
        <v>1521</v>
      </c>
      <c r="L453" t="s">
        <v>1525</v>
      </c>
      <c r="M453">
        <v>42</v>
      </c>
      <c r="N453" t="s">
        <v>1528</v>
      </c>
      <c r="O453">
        <f t="shared" si="42"/>
        <v>2025</v>
      </c>
      <c r="P453">
        <f t="shared" si="43"/>
        <v>5</v>
      </c>
      <c r="Q453" s="3">
        <f t="shared" si="44"/>
        <v>5.570204081632653</v>
      </c>
      <c r="R453">
        <f t="shared" si="45"/>
        <v>1</v>
      </c>
      <c r="S453" t="str">
        <f t="shared" si="46"/>
        <v>Normal</v>
      </c>
      <c r="U453" t="str">
        <f t="shared" si="47"/>
        <v>2025-05</v>
      </c>
    </row>
    <row r="454" spans="1:21" x14ac:dyDescent="0.35">
      <c r="A454" t="s">
        <v>466</v>
      </c>
      <c r="B454" t="s">
        <v>957</v>
      </c>
      <c r="C454" t="s">
        <v>1454</v>
      </c>
      <c r="D454" t="s">
        <v>1506</v>
      </c>
      <c r="E454" s="9" t="s">
        <v>1509</v>
      </c>
      <c r="F454" s="9" t="s">
        <v>1515</v>
      </c>
      <c r="G454" s="7">
        <v>45714</v>
      </c>
      <c r="H454" s="5">
        <v>11</v>
      </c>
      <c r="I454" s="3">
        <v>0</v>
      </c>
      <c r="J454" t="s">
        <v>1516</v>
      </c>
      <c r="K454" t="s">
        <v>1523</v>
      </c>
      <c r="L454" t="s">
        <v>1525</v>
      </c>
      <c r="M454">
        <v>12</v>
      </c>
      <c r="N454" t="s">
        <v>1528</v>
      </c>
      <c r="O454">
        <f t="shared" si="42"/>
        <v>2025</v>
      </c>
      <c r="P454">
        <f t="shared" si="43"/>
        <v>2</v>
      </c>
      <c r="Q454" s="3">
        <f t="shared" si="44"/>
        <v>5.6862500000000002</v>
      </c>
      <c r="R454">
        <f t="shared" si="45"/>
        <v>0</v>
      </c>
      <c r="S454" t="str">
        <f t="shared" si="46"/>
        <v>Normal</v>
      </c>
      <c r="U454" t="str">
        <f t="shared" si="47"/>
        <v>2025-02</v>
      </c>
    </row>
    <row r="455" spans="1:21" x14ac:dyDescent="0.35">
      <c r="A455" t="s">
        <v>467</v>
      </c>
      <c r="B455" t="s">
        <v>958</v>
      </c>
      <c r="C455" t="s">
        <v>1455</v>
      </c>
      <c r="D455" t="s">
        <v>1504</v>
      </c>
      <c r="E455" s="9" t="s">
        <v>1508</v>
      </c>
      <c r="F455" s="9" t="s">
        <v>1512</v>
      </c>
      <c r="G455" s="7">
        <v>45708</v>
      </c>
      <c r="H455" s="5">
        <v>142</v>
      </c>
      <c r="I455" s="3">
        <v>0</v>
      </c>
      <c r="J455" t="s">
        <v>1516</v>
      </c>
      <c r="K455" t="s">
        <v>1521</v>
      </c>
      <c r="L455" t="s">
        <v>1525</v>
      </c>
      <c r="M455">
        <v>32</v>
      </c>
      <c r="N455" t="s">
        <v>1528</v>
      </c>
      <c r="O455">
        <f t="shared" si="42"/>
        <v>2025</v>
      </c>
      <c r="P455">
        <f t="shared" si="43"/>
        <v>2</v>
      </c>
      <c r="Q455" s="3">
        <f t="shared" si="44"/>
        <v>5.8072340425531914</v>
      </c>
      <c r="R455">
        <f t="shared" si="45"/>
        <v>1</v>
      </c>
      <c r="S455" t="str">
        <f t="shared" si="46"/>
        <v>Normal</v>
      </c>
      <c r="U455" t="str">
        <f t="shared" si="47"/>
        <v>2025-02</v>
      </c>
    </row>
    <row r="456" spans="1:21" x14ac:dyDescent="0.35">
      <c r="A456" t="s">
        <v>468</v>
      </c>
      <c r="B456" t="s">
        <v>959</v>
      </c>
      <c r="C456" t="s">
        <v>1456</v>
      </c>
      <c r="D456" t="s">
        <v>1505</v>
      </c>
      <c r="E456" s="9" t="s">
        <v>1509</v>
      </c>
      <c r="F456" s="9" t="s">
        <v>1511</v>
      </c>
      <c r="G456" s="7">
        <v>45669</v>
      </c>
      <c r="H456" s="5">
        <v>123</v>
      </c>
      <c r="I456" s="3">
        <v>22.4</v>
      </c>
      <c r="J456" t="s">
        <v>1520</v>
      </c>
      <c r="K456" t="s">
        <v>1521</v>
      </c>
      <c r="L456" t="s">
        <v>1526</v>
      </c>
      <c r="M456">
        <v>33</v>
      </c>
      <c r="N456" t="s">
        <v>1528</v>
      </c>
      <c r="O456">
        <f t="shared" si="42"/>
        <v>2025</v>
      </c>
      <c r="P456">
        <f t="shared" si="43"/>
        <v>1</v>
      </c>
      <c r="Q456" s="3">
        <f t="shared" si="44"/>
        <v>5.9334782608695651</v>
      </c>
      <c r="R456">
        <f t="shared" si="45"/>
        <v>1</v>
      </c>
      <c r="S456" t="str">
        <f t="shared" si="46"/>
        <v>Normal</v>
      </c>
      <c r="U456" t="str">
        <f t="shared" si="47"/>
        <v>2025-01</v>
      </c>
    </row>
    <row r="457" spans="1:21" x14ac:dyDescent="0.35">
      <c r="A457" t="s">
        <v>469</v>
      </c>
      <c r="B457" t="s">
        <v>931</v>
      </c>
      <c r="C457" t="s">
        <v>1457</v>
      </c>
      <c r="D457" t="s">
        <v>1502</v>
      </c>
      <c r="E457" s="9" t="s">
        <v>1507</v>
      </c>
      <c r="F457" s="9" t="s">
        <v>1514</v>
      </c>
      <c r="G457" s="7">
        <v>45735</v>
      </c>
      <c r="H457" s="5">
        <v>132</v>
      </c>
      <c r="I457" s="3">
        <v>28.89</v>
      </c>
      <c r="J457" t="s">
        <v>1519</v>
      </c>
      <c r="K457" t="s">
        <v>1521</v>
      </c>
      <c r="L457" t="s">
        <v>1526</v>
      </c>
      <c r="M457">
        <v>26</v>
      </c>
      <c r="N457" t="s">
        <v>1528</v>
      </c>
      <c r="O457">
        <f t="shared" si="42"/>
        <v>2025</v>
      </c>
      <c r="P457">
        <f t="shared" si="43"/>
        <v>3</v>
      </c>
      <c r="Q457" s="3">
        <f t="shared" si="44"/>
        <v>5.5675555555555558</v>
      </c>
      <c r="R457">
        <f t="shared" si="45"/>
        <v>1</v>
      </c>
      <c r="S457" t="str">
        <f t="shared" si="46"/>
        <v>Normal</v>
      </c>
      <c r="U457" t="str">
        <f t="shared" si="47"/>
        <v>2025-03</v>
      </c>
    </row>
    <row r="458" spans="1:21" x14ac:dyDescent="0.35">
      <c r="A458" t="s">
        <v>470</v>
      </c>
      <c r="B458" t="s">
        <v>960</v>
      </c>
      <c r="C458" t="s">
        <v>1458</v>
      </c>
      <c r="D458" t="s">
        <v>1506</v>
      </c>
      <c r="E458" s="9" t="s">
        <v>1508</v>
      </c>
      <c r="F458" s="9" t="s">
        <v>1513</v>
      </c>
      <c r="G458" s="7">
        <v>45655</v>
      </c>
      <c r="H458" s="5">
        <v>113</v>
      </c>
      <c r="I458" s="3">
        <v>0</v>
      </c>
      <c r="J458" t="s">
        <v>1516</v>
      </c>
      <c r="K458" t="s">
        <v>1521</v>
      </c>
      <c r="L458" t="s">
        <v>1525</v>
      </c>
      <c r="M458">
        <v>17</v>
      </c>
      <c r="N458" t="s">
        <v>1528</v>
      </c>
      <c r="O458">
        <f t="shared" si="42"/>
        <v>2024</v>
      </c>
      <c r="P458">
        <f t="shared" si="43"/>
        <v>12</v>
      </c>
      <c r="Q458" s="3">
        <f t="shared" si="44"/>
        <v>5.0375000000000005</v>
      </c>
      <c r="R458">
        <f t="shared" si="45"/>
        <v>1</v>
      </c>
      <c r="S458" t="str">
        <f t="shared" si="46"/>
        <v>Normal</v>
      </c>
      <c r="U458" t="str">
        <f t="shared" si="47"/>
        <v>2024-12</v>
      </c>
    </row>
    <row r="459" spans="1:21" x14ac:dyDescent="0.35">
      <c r="A459" t="s">
        <v>471</v>
      </c>
      <c r="B459" t="s">
        <v>961</v>
      </c>
      <c r="C459" t="s">
        <v>1459</v>
      </c>
      <c r="D459" t="s">
        <v>1505</v>
      </c>
      <c r="E459" s="9" t="s">
        <v>1507</v>
      </c>
      <c r="F459" s="9" t="s">
        <v>1514</v>
      </c>
      <c r="G459" s="7">
        <v>45666</v>
      </c>
      <c r="H459" s="5">
        <v>92</v>
      </c>
      <c r="I459" s="3">
        <v>0</v>
      </c>
      <c r="J459" t="s">
        <v>1516</v>
      </c>
      <c r="K459" t="s">
        <v>1521</v>
      </c>
      <c r="L459" t="s">
        <v>1525</v>
      </c>
      <c r="M459">
        <v>33</v>
      </c>
      <c r="N459" t="s">
        <v>1528</v>
      </c>
      <c r="O459">
        <f t="shared" si="42"/>
        <v>2025</v>
      </c>
      <c r="P459">
        <f t="shared" si="43"/>
        <v>1</v>
      </c>
      <c r="Q459" s="3">
        <f t="shared" si="44"/>
        <v>5.1546511627906977</v>
      </c>
      <c r="R459">
        <f t="shared" si="45"/>
        <v>1</v>
      </c>
      <c r="S459" t="str">
        <f t="shared" si="46"/>
        <v>Normal</v>
      </c>
      <c r="U459" t="str">
        <f t="shared" si="47"/>
        <v>2025-01</v>
      </c>
    </row>
    <row r="460" spans="1:21" x14ac:dyDescent="0.35">
      <c r="A460" t="s">
        <v>472</v>
      </c>
      <c r="B460" t="s">
        <v>962</v>
      </c>
      <c r="C460" t="s">
        <v>1460</v>
      </c>
      <c r="D460" t="s">
        <v>1505</v>
      </c>
      <c r="E460" s="9" t="s">
        <v>1507</v>
      </c>
      <c r="F460" s="9" t="s">
        <v>1511</v>
      </c>
      <c r="G460" s="7">
        <v>45654</v>
      </c>
      <c r="H460" s="5">
        <v>44</v>
      </c>
      <c r="I460" s="3">
        <v>0</v>
      </c>
      <c r="J460" t="s">
        <v>1516</v>
      </c>
      <c r="K460" t="s">
        <v>1521</v>
      </c>
      <c r="L460" t="s">
        <v>1525</v>
      </c>
      <c r="M460">
        <v>21</v>
      </c>
      <c r="N460" t="s">
        <v>1528</v>
      </c>
      <c r="O460">
        <f t="shared" si="42"/>
        <v>2024</v>
      </c>
      <c r="P460">
        <f t="shared" si="43"/>
        <v>12</v>
      </c>
      <c r="Q460" s="3">
        <f t="shared" si="44"/>
        <v>5.2773809523809527</v>
      </c>
      <c r="R460">
        <f t="shared" si="45"/>
        <v>1</v>
      </c>
      <c r="S460" t="str">
        <f t="shared" si="46"/>
        <v>Normal</v>
      </c>
      <c r="U460" t="str">
        <f t="shared" si="47"/>
        <v>2024-12</v>
      </c>
    </row>
    <row r="461" spans="1:21" x14ac:dyDescent="0.35">
      <c r="A461" t="s">
        <v>473</v>
      </c>
      <c r="B461" t="s">
        <v>963</v>
      </c>
      <c r="C461" t="s">
        <v>1461</v>
      </c>
      <c r="D461" t="s">
        <v>1504</v>
      </c>
      <c r="E461" s="9" t="s">
        <v>1508</v>
      </c>
      <c r="F461" s="9" t="s">
        <v>1515</v>
      </c>
      <c r="G461" s="7">
        <v>45722</v>
      </c>
      <c r="H461" s="5">
        <v>17</v>
      </c>
      <c r="I461" s="3">
        <v>0</v>
      </c>
      <c r="J461" t="s">
        <v>1516</v>
      </c>
      <c r="K461" t="s">
        <v>1521</v>
      </c>
      <c r="L461" t="s">
        <v>1525</v>
      </c>
      <c r="M461">
        <v>1</v>
      </c>
      <c r="N461" t="s">
        <v>1528</v>
      </c>
      <c r="O461">
        <f t="shared" si="42"/>
        <v>2025</v>
      </c>
      <c r="P461">
        <f t="shared" si="43"/>
        <v>3</v>
      </c>
      <c r="Q461" s="3">
        <f t="shared" si="44"/>
        <v>5.4060975609756099</v>
      </c>
      <c r="R461">
        <f t="shared" si="45"/>
        <v>1</v>
      </c>
      <c r="S461" t="str">
        <f t="shared" si="46"/>
        <v>Normal</v>
      </c>
      <c r="U461" t="str">
        <f t="shared" si="47"/>
        <v>2025-03</v>
      </c>
    </row>
    <row r="462" spans="1:21" x14ac:dyDescent="0.35">
      <c r="A462" t="s">
        <v>474</v>
      </c>
      <c r="B462" t="s">
        <v>964</v>
      </c>
      <c r="C462" t="s">
        <v>1462</v>
      </c>
      <c r="D462" t="s">
        <v>1504</v>
      </c>
      <c r="E462" s="9" t="s">
        <v>1509</v>
      </c>
      <c r="F462" s="9" t="s">
        <v>1510</v>
      </c>
      <c r="G462" s="7">
        <v>45690</v>
      </c>
      <c r="H462" s="5">
        <v>52</v>
      </c>
      <c r="I462" s="3">
        <v>0</v>
      </c>
      <c r="J462" t="s">
        <v>1516</v>
      </c>
      <c r="K462" t="s">
        <v>1523</v>
      </c>
      <c r="L462" t="s">
        <v>1525</v>
      </c>
      <c r="M462">
        <v>19</v>
      </c>
      <c r="N462" t="s">
        <v>1528</v>
      </c>
      <c r="O462">
        <f t="shared" si="42"/>
        <v>2025</v>
      </c>
      <c r="P462">
        <f t="shared" si="43"/>
        <v>2</v>
      </c>
      <c r="Q462" s="3">
        <f t="shared" si="44"/>
        <v>5.5412499999999998</v>
      </c>
      <c r="R462">
        <f t="shared" si="45"/>
        <v>0</v>
      </c>
      <c r="S462" t="str">
        <f t="shared" si="46"/>
        <v>Normal</v>
      </c>
      <c r="U462" t="str">
        <f t="shared" si="47"/>
        <v>2025-02</v>
      </c>
    </row>
    <row r="463" spans="1:21" x14ac:dyDescent="0.35">
      <c r="A463" t="s">
        <v>475</v>
      </c>
      <c r="B463" t="s">
        <v>965</v>
      </c>
      <c r="C463" t="s">
        <v>1463</v>
      </c>
      <c r="D463" t="s">
        <v>1506</v>
      </c>
      <c r="E463" s="9" t="s">
        <v>1508</v>
      </c>
      <c r="F463" s="9" t="s">
        <v>1515</v>
      </c>
      <c r="G463" s="7">
        <v>45676</v>
      </c>
      <c r="H463" s="5">
        <v>51</v>
      </c>
      <c r="I463" s="3">
        <v>20.97</v>
      </c>
      <c r="J463" t="s">
        <v>1520</v>
      </c>
      <c r="K463" t="s">
        <v>1521</v>
      </c>
      <c r="L463" t="s">
        <v>1526</v>
      </c>
      <c r="M463">
        <v>31</v>
      </c>
      <c r="N463" t="s">
        <v>1528</v>
      </c>
      <c r="O463">
        <f t="shared" si="42"/>
        <v>2025</v>
      </c>
      <c r="P463">
        <f t="shared" si="43"/>
        <v>1</v>
      </c>
      <c r="Q463" s="3">
        <f t="shared" si="44"/>
        <v>5.6833333333333336</v>
      </c>
      <c r="R463">
        <f t="shared" si="45"/>
        <v>1</v>
      </c>
      <c r="S463" t="str">
        <f t="shared" si="46"/>
        <v>Normal</v>
      </c>
      <c r="U463" t="str">
        <f t="shared" si="47"/>
        <v>2025-01</v>
      </c>
    </row>
    <row r="464" spans="1:21" x14ac:dyDescent="0.35">
      <c r="A464" t="s">
        <v>476</v>
      </c>
      <c r="B464" t="s">
        <v>966</v>
      </c>
      <c r="C464" t="s">
        <v>1464</v>
      </c>
      <c r="D464" t="s">
        <v>1502</v>
      </c>
      <c r="E464" s="9" t="s">
        <v>1509</v>
      </c>
      <c r="F464" s="9" t="s">
        <v>1512</v>
      </c>
      <c r="G464" s="7">
        <v>45694</v>
      </c>
      <c r="H464" s="5">
        <v>94</v>
      </c>
      <c r="I464" s="3">
        <v>0</v>
      </c>
      <c r="J464" t="s">
        <v>1516</v>
      </c>
      <c r="K464" t="s">
        <v>1521</v>
      </c>
      <c r="L464" t="s">
        <v>1525</v>
      </c>
      <c r="M464">
        <v>43</v>
      </c>
      <c r="N464" t="s">
        <v>1528</v>
      </c>
      <c r="O464">
        <f t="shared" si="42"/>
        <v>2025</v>
      </c>
      <c r="P464">
        <f t="shared" si="43"/>
        <v>2</v>
      </c>
      <c r="Q464" s="3">
        <f t="shared" si="44"/>
        <v>5.2810526315789472</v>
      </c>
      <c r="R464">
        <f t="shared" si="45"/>
        <v>1</v>
      </c>
      <c r="S464" t="str">
        <f t="shared" si="46"/>
        <v>Normal</v>
      </c>
      <c r="U464" t="str">
        <f t="shared" si="47"/>
        <v>2025-02</v>
      </c>
    </row>
    <row r="465" spans="1:21" x14ac:dyDescent="0.35">
      <c r="A465" t="s">
        <v>477</v>
      </c>
      <c r="B465" t="s">
        <v>967</v>
      </c>
      <c r="C465" t="s">
        <v>1465</v>
      </c>
      <c r="D465" t="s">
        <v>1506</v>
      </c>
      <c r="E465" s="9" t="s">
        <v>1508</v>
      </c>
      <c r="F465" s="9" t="s">
        <v>1515</v>
      </c>
      <c r="G465" s="7">
        <v>45782</v>
      </c>
      <c r="H465" s="5">
        <v>63</v>
      </c>
      <c r="I465" s="3">
        <v>0</v>
      </c>
      <c r="J465" t="s">
        <v>1516</v>
      </c>
      <c r="K465" t="s">
        <v>1521</v>
      </c>
      <c r="L465" t="s">
        <v>1526</v>
      </c>
      <c r="M465">
        <v>43</v>
      </c>
      <c r="N465" t="s">
        <v>1528</v>
      </c>
      <c r="O465">
        <f t="shared" si="42"/>
        <v>2025</v>
      </c>
      <c r="P465">
        <f t="shared" si="43"/>
        <v>5</v>
      </c>
      <c r="Q465" s="3">
        <f t="shared" si="44"/>
        <v>5.423783783783783</v>
      </c>
      <c r="R465">
        <f t="shared" si="45"/>
        <v>1</v>
      </c>
      <c r="S465" t="str">
        <f t="shared" si="46"/>
        <v>Normal</v>
      </c>
      <c r="U465" t="str">
        <f t="shared" si="47"/>
        <v>2025-05</v>
      </c>
    </row>
    <row r="466" spans="1:21" x14ac:dyDescent="0.35">
      <c r="A466" t="s">
        <v>478</v>
      </c>
      <c r="B466" t="s">
        <v>968</v>
      </c>
      <c r="C466" t="s">
        <v>1466</v>
      </c>
      <c r="D466" t="s">
        <v>1506</v>
      </c>
      <c r="E466" s="9" t="s">
        <v>1508</v>
      </c>
      <c r="F466" s="9" t="s">
        <v>1513</v>
      </c>
      <c r="G466" s="7">
        <v>45725</v>
      </c>
      <c r="H466" s="5">
        <v>172</v>
      </c>
      <c r="I466" s="3">
        <v>0</v>
      </c>
      <c r="J466" t="s">
        <v>1516</v>
      </c>
      <c r="K466" t="s">
        <v>1521</v>
      </c>
      <c r="L466" t="s">
        <v>1525</v>
      </c>
      <c r="M466">
        <v>15</v>
      </c>
      <c r="N466" t="s">
        <v>1527</v>
      </c>
      <c r="O466">
        <f t="shared" si="42"/>
        <v>2025</v>
      </c>
      <c r="P466">
        <f t="shared" si="43"/>
        <v>3</v>
      </c>
      <c r="Q466" s="3">
        <f t="shared" si="44"/>
        <v>5.5744444444444436</v>
      </c>
      <c r="R466">
        <f t="shared" si="45"/>
        <v>1</v>
      </c>
      <c r="S466" t="str">
        <f t="shared" si="46"/>
        <v>Normal</v>
      </c>
      <c r="U466" t="str">
        <f t="shared" si="47"/>
        <v>2025-03</v>
      </c>
    </row>
    <row r="467" spans="1:21" x14ac:dyDescent="0.35">
      <c r="A467" t="s">
        <v>479</v>
      </c>
      <c r="B467" t="s">
        <v>969</v>
      </c>
      <c r="C467" t="s">
        <v>1467</v>
      </c>
      <c r="D467" t="s">
        <v>1503</v>
      </c>
      <c r="E467" s="9" t="s">
        <v>1507</v>
      </c>
      <c r="F467" s="9" t="s">
        <v>1511</v>
      </c>
      <c r="G467" s="7">
        <v>45651</v>
      </c>
      <c r="H467" s="5">
        <v>38</v>
      </c>
      <c r="I467" s="3">
        <v>0</v>
      </c>
      <c r="J467" t="s">
        <v>1516</v>
      </c>
      <c r="K467" t="s">
        <v>1523</v>
      </c>
      <c r="L467" t="s">
        <v>1525</v>
      </c>
      <c r="M467">
        <v>23</v>
      </c>
      <c r="N467" t="s">
        <v>1528</v>
      </c>
      <c r="O467">
        <f t="shared" si="42"/>
        <v>2024</v>
      </c>
      <c r="P467">
        <f t="shared" si="43"/>
        <v>12</v>
      </c>
      <c r="Q467" s="3">
        <f t="shared" si="44"/>
        <v>5.7337142857142851</v>
      </c>
      <c r="R467">
        <f t="shared" si="45"/>
        <v>0</v>
      </c>
      <c r="S467" t="str">
        <f t="shared" si="46"/>
        <v>Normal</v>
      </c>
      <c r="U467" t="str">
        <f t="shared" si="47"/>
        <v>2024-12</v>
      </c>
    </row>
    <row r="468" spans="1:21" x14ac:dyDescent="0.35">
      <c r="A468" t="s">
        <v>480</v>
      </c>
      <c r="B468" t="s">
        <v>970</v>
      </c>
      <c r="C468" t="s">
        <v>1468</v>
      </c>
      <c r="D468" t="s">
        <v>1505</v>
      </c>
      <c r="E468" s="9" t="s">
        <v>1507</v>
      </c>
      <c r="F468" s="9" t="s">
        <v>1513</v>
      </c>
      <c r="G468" s="7">
        <v>45654</v>
      </c>
      <c r="H468" s="5">
        <v>132</v>
      </c>
      <c r="I468" s="3">
        <v>18</v>
      </c>
      <c r="J468" t="s">
        <v>1519</v>
      </c>
      <c r="K468" t="s">
        <v>1522</v>
      </c>
      <c r="L468" t="s">
        <v>1526</v>
      </c>
      <c r="M468">
        <v>3</v>
      </c>
      <c r="N468" t="s">
        <v>1528</v>
      </c>
      <c r="O468">
        <f t="shared" si="42"/>
        <v>2024</v>
      </c>
      <c r="P468">
        <f t="shared" si="43"/>
        <v>12</v>
      </c>
      <c r="Q468" s="3">
        <f t="shared" si="44"/>
        <v>5.9023529411764697</v>
      </c>
      <c r="R468">
        <f t="shared" si="45"/>
        <v>0</v>
      </c>
      <c r="S468" t="str">
        <f t="shared" si="46"/>
        <v>Normal</v>
      </c>
      <c r="U468" t="str">
        <f t="shared" si="47"/>
        <v>2024-12</v>
      </c>
    </row>
    <row r="469" spans="1:21" x14ac:dyDescent="0.35">
      <c r="A469" t="s">
        <v>481</v>
      </c>
      <c r="B469" t="s">
        <v>971</v>
      </c>
      <c r="C469" t="s">
        <v>1469</v>
      </c>
      <c r="D469" t="s">
        <v>1506</v>
      </c>
      <c r="E469" s="9" t="s">
        <v>1508</v>
      </c>
      <c r="F469" s="9" t="s">
        <v>1515</v>
      </c>
      <c r="G469" s="7">
        <v>45799</v>
      </c>
      <c r="H469" s="5">
        <v>164</v>
      </c>
      <c r="I469" s="3">
        <v>0</v>
      </c>
      <c r="J469" t="s">
        <v>1516</v>
      </c>
      <c r="K469" t="s">
        <v>1524</v>
      </c>
      <c r="L469" t="s">
        <v>1525</v>
      </c>
      <c r="M469">
        <v>40</v>
      </c>
      <c r="N469" t="s">
        <v>1527</v>
      </c>
      <c r="O469">
        <f t="shared" si="42"/>
        <v>2025</v>
      </c>
      <c r="P469">
        <f t="shared" si="43"/>
        <v>5</v>
      </c>
      <c r="Q469" s="3">
        <f t="shared" si="44"/>
        <v>5.5357575757575752</v>
      </c>
      <c r="R469">
        <f t="shared" si="45"/>
        <v>0</v>
      </c>
      <c r="S469" t="str">
        <f t="shared" si="46"/>
        <v>Normal</v>
      </c>
      <c r="U469" t="str">
        <f t="shared" si="47"/>
        <v>2025-05</v>
      </c>
    </row>
    <row r="470" spans="1:21" x14ac:dyDescent="0.35">
      <c r="A470" t="s">
        <v>482</v>
      </c>
      <c r="B470" t="s">
        <v>972</v>
      </c>
      <c r="C470" t="s">
        <v>1470</v>
      </c>
      <c r="D470" t="s">
        <v>1505</v>
      </c>
      <c r="E470" s="9" t="s">
        <v>1508</v>
      </c>
      <c r="F470" s="9" t="s">
        <v>1510</v>
      </c>
      <c r="G470" s="7">
        <v>45665</v>
      </c>
      <c r="H470" s="5">
        <v>166</v>
      </c>
      <c r="I470" s="3">
        <v>23.59</v>
      </c>
      <c r="J470" t="s">
        <v>1519</v>
      </c>
      <c r="K470" t="s">
        <v>1521</v>
      </c>
      <c r="L470" t="s">
        <v>1526</v>
      </c>
      <c r="M470">
        <v>19</v>
      </c>
      <c r="N470" t="s">
        <v>1527</v>
      </c>
      <c r="O470">
        <f t="shared" si="42"/>
        <v>2025</v>
      </c>
      <c r="P470">
        <f t="shared" si="43"/>
        <v>1</v>
      </c>
      <c r="Q470" s="3">
        <f t="shared" si="44"/>
        <v>5.7087499999999993</v>
      </c>
      <c r="R470">
        <f t="shared" si="45"/>
        <v>1</v>
      </c>
      <c r="S470" t="str">
        <f t="shared" si="46"/>
        <v>Normal</v>
      </c>
      <c r="U470" t="str">
        <f t="shared" si="47"/>
        <v>2025-01</v>
      </c>
    </row>
    <row r="471" spans="1:21" x14ac:dyDescent="0.35">
      <c r="A471" t="s">
        <v>483</v>
      </c>
      <c r="B471" t="s">
        <v>973</v>
      </c>
      <c r="C471" t="s">
        <v>1471</v>
      </c>
      <c r="D471" t="s">
        <v>1506</v>
      </c>
      <c r="E471" s="9" t="s">
        <v>1507</v>
      </c>
      <c r="F471" s="9" t="s">
        <v>1510</v>
      </c>
      <c r="G471" s="7">
        <v>45788</v>
      </c>
      <c r="H471" s="5">
        <v>73</v>
      </c>
      <c r="I471" s="3">
        <v>0</v>
      </c>
      <c r="J471" t="s">
        <v>1516</v>
      </c>
      <c r="K471" t="s">
        <v>1521</v>
      </c>
      <c r="L471" t="s">
        <v>1525</v>
      </c>
      <c r="M471">
        <v>46</v>
      </c>
      <c r="N471" t="s">
        <v>1528</v>
      </c>
      <c r="O471">
        <f t="shared" si="42"/>
        <v>2025</v>
      </c>
      <c r="P471">
        <f t="shared" si="43"/>
        <v>5</v>
      </c>
      <c r="Q471" s="3">
        <f t="shared" si="44"/>
        <v>5.1319354838709677</v>
      </c>
      <c r="R471">
        <f t="shared" si="45"/>
        <v>1</v>
      </c>
      <c r="S471" t="str">
        <f t="shared" si="46"/>
        <v>Normal</v>
      </c>
      <c r="U471" t="str">
        <f t="shared" si="47"/>
        <v>2025-05</v>
      </c>
    </row>
    <row r="472" spans="1:21" x14ac:dyDescent="0.35">
      <c r="A472" t="s">
        <v>484</v>
      </c>
      <c r="B472" t="s">
        <v>700</v>
      </c>
      <c r="C472" t="s">
        <v>1472</v>
      </c>
      <c r="D472" t="s">
        <v>1502</v>
      </c>
      <c r="E472" s="9" t="s">
        <v>1509</v>
      </c>
      <c r="F472" s="9" t="s">
        <v>1511</v>
      </c>
      <c r="G472" s="7">
        <v>45749</v>
      </c>
      <c r="H472" s="5">
        <v>55</v>
      </c>
      <c r="I472" s="3">
        <v>40.58</v>
      </c>
      <c r="J472" t="s">
        <v>1518</v>
      </c>
      <c r="K472" t="s">
        <v>1521</v>
      </c>
      <c r="L472" t="s">
        <v>1526</v>
      </c>
      <c r="M472">
        <v>14</v>
      </c>
      <c r="N472" t="s">
        <v>1527</v>
      </c>
      <c r="O472">
        <f t="shared" si="42"/>
        <v>2025</v>
      </c>
      <c r="P472">
        <f t="shared" si="43"/>
        <v>4</v>
      </c>
      <c r="Q472" s="3">
        <f t="shared" si="44"/>
        <v>5.3029999999999999</v>
      </c>
      <c r="R472">
        <f t="shared" si="45"/>
        <v>1</v>
      </c>
      <c r="S472" t="str">
        <f t="shared" si="46"/>
        <v>Normal</v>
      </c>
      <c r="U472" t="str">
        <f t="shared" si="47"/>
        <v>2025-04</v>
      </c>
    </row>
    <row r="473" spans="1:21" x14ac:dyDescent="0.35">
      <c r="A473" t="s">
        <v>485</v>
      </c>
      <c r="B473" t="s">
        <v>974</v>
      </c>
      <c r="C473" t="s">
        <v>1473</v>
      </c>
      <c r="D473" t="s">
        <v>1506</v>
      </c>
      <c r="E473" s="9" t="s">
        <v>1507</v>
      </c>
      <c r="F473" s="9" t="s">
        <v>1514</v>
      </c>
      <c r="G473" s="7">
        <v>45808</v>
      </c>
      <c r="H473" s="5">
        <v>22</v>
      </c>
      <c r="I473" s="3">
        <v>0</v>
      </c>
      <c r="J473" t="s">
        <v>1516</v>
      </c>
      <c r="K473" t="s">
        <v>1521</v>
      </c>
      <c r="L473" t="s">
        <v>1525</v>
      </c>
      <c r="M473">
        <v>36</v>
      </c>
      <c r="N473" t="s">
        <v>1528</v>
      </c>
      <c r="O473">
        <f t="shared" si="42"/>
        <v>2025</v>
      </c>
      <c r="P473">
        <f t="shared" si="43"/>
        <v>5</v>
      </c>
      <c r="Q473" s="3">
        <f t="shared" si="44"/>
        <v>4.086551724137931</v>
      </c>
      <c r="R473">
        <f t="shared" si="45"/>
        <v>1</v>
      </c>
      <c r="S473" t="str">
        <f t="shared" si="46"/>
        <v>Normal</v>
      </c>
      <c r="U473" t="str">
        <f t="shared" si="47"/>
        <v>2025-05</v>
      </c>
    </row>
    <row r="474" spans="1:21" x14ac:dyDescent="0.35">
      <c r="A474" t="s">
        <v>486</v>
      </c>
      <c r="B474" t="s">
        <v>975</v>
      </c>
      <c r="C474" t="s">
        <v>1474</v>
      </c>
      <c r="D474" t="s">
        <v>1502</v>
      </c>
      <c r="E474" s="9" t="s">
        <v>1508</v>
      </c>
      <c r="F474" s="9" t="s">
        <v>1513</v>
      </c>
      <c r="G474" s="7">
        <v>45811</v>
      </c>
      <c r="H474" s="5">
        <v>56</v>
      </c>
      <c r="I474" s="3">
        <v>0</v>
      </c>
      <c r="J474" t="s">
        <v>1516</v>
      </c>
      <c r="K474" t="s">
        <v>1521</v>
      </c>
      <c r="L474" t="s">
        <v>1525</v>
      </c>
      <c r="M474">
        <v>34</v>
      </c>
      <c r="N474" t="s">
        <v>1528</v>
      </c>
      <c r="O474">
        <f t="shared" si="42"/>
        <v>2025</v>
      </c>
      <c r="P474">
        <f t="shared" si="43"/>
        <v>6</v>
      </c>
      <c r="Q474" s="3">
        <f t="shared" si="44"/>
        <v>4.2324999999999999</v>
      </c>
      <c r="R474">
        <f t="shared" si="45"/>
        <v>1</v>
      </c>
      <c r="S474" t="str">
        <f t="shared" si="46"/>
        <v>Normal</v>
      </c>
      <c r="U474" t="str">
        <f t="shared" si="47"/>
        <v>2025-06</v>
      </c>
    </row>
    <row r="475" spans="1:21" x14ac:dyDescent="0.35">
      <c r="A475" t="s">
        <v>487</v>
      </c>
      <c r="B475" t="s">
        <v>976</v>
      </c>
      <c r="C475" t="s">
        <v>1475</v>
      </c>
      <c r="D475" t="s">
        <v>1504</v>
      </c>
      <c r="E475" s="9" t="s">
        <v>1508</v>
      </c>
      <c r="F475" s="9" t="s">
        <v>1510</v>
      </c>
      <c r="G475" s="7">
        <v>45742</v>
      </c>
      <c r="H475" s="5">
        <v>9</v>
      </c>
      <c r="I475" s="3">
        <v>0</v>
      </c>
      <c r="J475" t="s">
        <v>1516</v>
      </c>
      <c r="K475" t="s">
        <v>1521</v>
      </c>
      <c r="L475" t="s">
        <v>1525</v>
      </c>
      <c r="M475">
        <v>21</v>
      </c>
      <c r="N475" t="s">
        <v>1528</v>
      </c>
      <c r="O475">
        <f t="shared" si="42"/>
        <v>2025</v>
      </c>
      <c r="P475">
        <f t="shared" si="43"/>
        <v>3</v>
      </c>
      <c r="Q475" s="3">
        <f t="shared" si="44"/>
        <v>4.3892592592592594</v>
      </c>
      <c r="R475">
        <f t="shared" si="45"/>
        <v>1</v>
      </c>
      <c r="S475" t="str">
        <f t="shared" si="46"/>
        <v>Normal</v>
      </c>
      <c r="U475" t="str">
        <f t="shared" si="47"/>
        <v>2025-03</v>
      </c>
    </row>
    <row r="476" spans="1:21" x14ac:dyDescent="0.35">
      <c r="A476" t="s">
        <v>488</v>
      </c>
      <c r="B476" t="s">
        <v>977</v>
      </c>
      <c r="C476" t="s">
        <v>1476</v>
      </c>
      <c r="D476" t="s">
        <v>1502</v>
      </c>
      <c r="E476" s="9" t="s">
        <v>1508</v>
      </c>
      <c r="F476" s="9" t="s">
        <v>1515</v>
      </c>
      <c r="G476" s="7">
        <v>45714</v>
      </c>
      <c r="H476" s="5">
        <v>54</v>
      </c>
      <c r="I476" s="3">
        <v>19.649999999999999</v>
      </c>
      <c r="J476" t="s">
        <v>1520</v>
      </c>
      <c r="K476" t="s">
        <v>1521</v>
      </c>
      <c r="L476" t="s">
        <v>1526</v>
      </c>
      <c r="M476">
        <v>38</v>
      </c>
      <c r="N476" t="s">
        <v>1528</v>
      </c>
      <c r="O476">
        <f t="shared" si="42"/>
        <v>2025</v>
      </c>
      <c r="P476">
        <f t="shared" si="43"/>
        <v>2</v>
      </c>
      <c r="Q476" s="3">
        <f t="shared" si="44"/>
        <v>4.5580769230769231</v>
      </c>
      <c r="R476">
        <f t="shared" si="45"/>
        <v>1</v>
      </c>
      <c r="S476" t="str">
        <f t="shared" si="46"/>
        <v>Normal</v>
      </c>
      <c r="U476" t="str">
        <f t="shared" si="47"/>
        <v>2025-02</v>
      </c>
    </row>
    <row r="477" spans="1:21" x14ac:dyDescent="0.35">
      <c r="A477" t="s">
        <v>489</v>
      </c>
      <c r="B477" t="s">
        <v>978</v>
      </c>
      <c r="C477" t="s">
        <v>1477</v>
      </c>
      <c r="D477" t="s">
        <v>1503</v>
      </c>
      <c r="E477" s="9" t="s">
        <v>1508</v>
      </c>
      <c r="F477" s="9" t="s">
        <v>1514</v>
      </c>
      <c r="G477" s="7">
        <v>45693</v>
      </c>
      <c r="H477" s="5">
        <v>85</v>
      </c>
      <c r="I477" s="3">
        <v>0</v>
      </c>
      <c r="J477" t="s">
        <v>1516</v>
      </c>
      <c r="K477" t="s">
        <v>1524</v>
      </c>
      <c r="L477" t="s">
        <v>1526</v>
      </c>
      <c r="M477">
        <v>12</v>
      </c>
      <c r="N477" t="s">
        <v>1528</v>
      </c>
      <c r="O477">
        <f t="shared" si="42"/>
        <v>2025</v>
      </c>
      <c r="P477">
        <f t="shared" si="43"/>
        <v>2</v>
      </c>
      <c r="Q477" s="3">
        <f t="shared" si="44"/>
        <v>3.9544000000000006</v>
      </c>
      <c r="R477">
        <f t="shared" si="45"/>
        <v>0</v>
      </c>
      <c r="S477" t="str">
        <f t="shared" si="46"/>
        <v>Normal</v>
      </c>
      <c r="U477" t="str">
        <f t="shared" si="47"/>
        <v>2025-02</v>
      </c>
    </row>
    <row r="478" spans="1:21" x14ac:dyDescent="0.35">
      <c r="A478" t="s">
        <v>490</v>
      </c>
      <c r="B478" t="s">
        <v>979</v>
      </c>
      <c r="C478" t="s">
        <v>1478</v>
      </c>
      <c r="D478" t="s">
        <v>1502</v>
      </c>
      <c r="E478" s="9" t="s">
        <v>1509</v>
      </c>
      <c r="F478" s="9" t="s">
        <v>1512</v>
      </c>
      <c r="G478" s="7">
        <v>45673</v>
      </c>
      <c r="H478" s="5">
        <v>111</v>
      </c>
      <c r="I478" s="3">
        <v>0</v>
      </c>
      <c r="J478" t="s">
        <v>1516</v>
      </c>
      <c r="K478" t="s">
        <v>1521</v>
      </c>
      <c r="L478" t="s">
        <v>1525</v>
      </c>
      <c r="M478">
        <v>38</v>
      </c>
      <c r="N478" t="s">
        <v>1528</v>
      </c>
      <c r="O478">
        <f t="shared" si="42"/>
        <v>2025</v>
      </c>
      <c r="P478">
        <f t="shared" si="43"/>
        <v>1</v>
      </c>
      <c r="Q478" s="3">
        <f t="shared" si="44"/>
        <v>4.1191666666666675</v>
      </c>
      <c r="R478">
        <f t="shared" si="45"/>
        <v>1</v>
      </c>
      <c r="S478" t="str">
        <f t="shared" si="46"/>
        <v>Normal</v>
      </c>
      <c r="U478" t="str">
        <f t="shared" si="47"/>
        <v>2025-01</v>
      </c>
    </row>
    <row r="479" spans="1:21" x14ac:dyDescent="0.35">
      <c r="A479" t="s">
        <v>491</v>
      </c>
      <c r="B479" t="s">
        <v>980</v>
      </c>
      <c r="C479" t="s">
        <v>1479</v>
      </c>
      <c r="D479" t="s">
        <v>1504</v>
      </c>
      <c r="E479" s="9" t="s">
        <v>1507</v>
      </c>
      <c r="F479" s="9" t="s">
        <v>1514</v>
      </c>
      <c r="G479" s="7">
        <v>45795</v>
      </c>
      <c r="H479" s="5">
        <v>93</v>
      </c>
      <c r="I479" s="3">
        <v>0</v>
      </c>
      <c r="J479" t="s">
        <v>1516</v>
      </c>
      <c r="K479" t="s">
        <v>1521</v>
      </c>
      <c r="L479" t="s">
        <v>1525</v>
      </c>
      <c r="M479">
        <v>26</v>
      </c>
      <c r="N479" t="s">
        <v>1528</v>
      </c>
      <c r="O479">
        <f t="shared" si="42"/>
        <v>2025</v>
      </c>
      <c r="P479">
        <f t="shared" si="43"/>
        <v>5</v>
      </c>
      <c r="Q479" s="3">
        <f t="shared" si="44"/>
        <v>4.298260869565218</v>
      </c>
      <c r="R479">
        <f t="shared" si="45"/>
        <v>1</v>
      </c>
      <c r="S479" t="str">
        <f t="shared" si="46"/>
        <v>Normal</v>
      </c>
      <c r="U479" t="str">
        <f t="shared" si="47"/>
        <v>2025-05</v>
      </c>
    </row>
    <row r="480" spans="1:21" x14ac:dyDescent="0.35">
      <c r="A480" t="s">
        <v>492</v>
      </c>
      <c r="B480" t="s">
        <v>981</v>
      </c>
      <c r="C480" t="s">
        <v>1480</v>
      </c>
      <c r="D480" t="s">
        <v>1504</v>
      </c>
      <c r="E480" s="9" t="s">
        <v>1507</v>
      </c>
      <c r="F480" s="9" t="s">
        <v>1511</v>
      </c>
      <c r="G480" s="7">
        <v>45800</v>
      </c>
      <c r="H480" s="5">
        <v>103</v>
      </c>
      <c r="I480" s="3">
        <v>0</v>
      </c>
      <c r="J480" t="s">
        <v>1516</v>
      </c>
      <c r="K480" t="s">
        <v>1521</v>
      </c>
      <c r="L480" t="s">
        <v>1525</v>
      </c>
      <c r="M480">
        <v>11</v>
      </c>
      <c r="N480" t="s">
        <v>1528</v>
      </c>
      <c r="O480">
        <f t="shared" si="42"/>
        <v>2025</v>
      </c>
      <c r="P480">
        <f t="shared" si="43"/>
        <v>5</v>
      </c>
      <c r="Q480" s="3">
        <f t="shared" si="44"/>
        <v>4.4936363636363641</v>
      </c>
      <c r="R480">
        <f t="shared" si="45"/>
        <v>1</v>
      </c>
      <c r="S480" t="str">
        <f t="shared" si="46"/>
        <v>Normal</v>
      </c>
      <c r="U480" t="str">
        <f t="shared" si="47"/>
        <v>2025-05</v>
      </c>
    </row>
    <row r="481" spans="1:21" x14ac:dyDescent="0.35">
      <c r="A481" t="s">
        <v>493</v>
      </c>
      <c r="B481" t="s">
        <v>982</v>
      </c>
      <c r="C481" t="s">
        <v>1481</v>
      </c>
      <c r="D481" t="s">
        <v>1502</v>
      </c>
      <c r="E481" s="9" t="s">
        <v>1507</v>
      </c>
      <c r="F481" s="9" t="s">
        <v>1515</v>
      </c>
      <c r="G481" s="7">
        <v>45773</v>
      </c>
      <c r="H481" s="5">
        <v>44</v>
      </c>
      <c r="I481" s="3">
        <v>0</v>
      </c>
      <c r="J481" t="s">
        <v>1516</v>
      </c>
      <c r="K481" t="s">
        <v>1524</v>
      </c>
      <c r="L481" t="s">
        <v>1525</v>
      </c>
      <c r="M481">
        <v>29</v>
      </c>
      <c r="N481" t="s">
        <v>1528</v>
      </c>
      <c r="O481">
        <f t="shared" si="42"/>
        <v>2025</v>
      </c>
      <c r="P481">
        <f t="shared" si="43"/>
        <v>4</v>
      </c>
      <c r="Q481" s="3">
        <f t="shared" si="44"/>
        <v>4.7076190476190485</v>
      </c>
      <c r="R481">
        <f t="shared" si="45"/>
        <v>0</v>
      </c>
      <c r="S481" t="str">
        <f t="shared" si="46"/>
        <v>Normal</v>
      </c>
      <c r="U481" t="str">
        <f t="shared" si="47"/>
        <v>2025-04</v>
      </c>
    </row>
    <row r="482" spans="1:21" x14ac:dyDescent="0.35">
      <c r="A482" t="s">
        <v>494</v>
      </c>
      <c r="B482" t="s">
        <v>983</v>
      </c>
      <c r="C482" t="s">
        <v>1482</v>
      </c>
      <c r="D482" t="s">
        <v>1506</v>
      </c>
      <c r="E482" s="9" t="s">
        <v>1509</v>
      </c>
      <c r="F482" s="9" t="s">
        <v>1513</v>
      </c>
      <c r="G482" s="7">
        <v>45689</v>
      </c>
      <c r="H482" s="5">
        <v>134</v>
      </c>
      <c r="I482" s="3">
        <v>0</v>
      </c>
      <c r="J482" t="s">
        <v>1516</v>
      </c>
      <c r="K482" t="s">
        <v>1521</v>
      </c>
      <c r="L482" t="s">
        <v>1525</v>
      </c>
      <c r="M482">
        <v>41</v>
      </c>
      <c r="N482" t="s">
        <v>1528</v>
      </c>
      <c r="O482">
        <f t="shared" si="42"/>
        <v>2025</v>
      </c>
      <c r="P482">
        <f t="shared" si="43"/>
        <v>2</v>
      </c>
      <c r="Q482" s="3">
        <f t="shared" si="44"/>
        <v>4.9430000000000005</v>
      </c>
      <c r="R482">
        <f t="shared" si="45"/>
        <v>1</v>
      </c>
      <c r="S482" t="str">
        <f t="shared" si="46"/>
        <v>Normal</v>
      </c>
      <c r="U482" t="str">
        <f t="shared" si="47"/>
        <v>2025-02</v>
      </c>
    </row>
    <row r="483" spans="1:21" x14ac:dyDescent="0.35">
      <c r="A483" t="s">
        <v>495</v>
      </c>
      <c r="B483" t="s">
        <v>984</v>
      </c>
      <c r="C483" t="s">
        <v>1483</v>
      </c>
      <c r="D483" t="s">
        <v>1503</v>
      </c>
      <c r="E483" s="9" t="s">
        <v>1508</v>
      </c>
      <c r="F483" s="9" t="s">
        <v>1513</v>
      </c>
      <c r="G483" s="7">
        <v>45804</v>
      </c>
      <c r="H483" s="5">
        <v>167</v>
      </c>
      <c r="I483" s="3">
        <v>0</v>
      </c>
      <c r="J483" t="s">
        <v>1516</v>
      </c>
      <c r="K483" t="s">
        <v>1521</v>
      </c>
      <c r="L483" t="s">
        <v>1525</v>
      </c>
      <c r="M483">
        <v>28</v>
      </c>
      <c r="N483" t="s">
        <v>1527</v>
      </c>
      <c r="O483">
        <f t="shared" si="42"/>
        <v>2025</v>
      </c>
      <c r="P483">
        <f t="shared" si="43"/>
        <v>5</v>
      </c>
      <c r="Q483" s="3">
        <f t="shared" si="44"/>
        <v>5.2031578947368429</v>
      </c>
      <c r="R483">
        <f t="shared" si="45"/>
        <v>1</v>
      </c>
      <c r="S483" t="str">
        <f t="shared" si="46"/>
        <v>Normal</v>
      </c>
      <c r="U483" t="str">
        <f t="shared" si="47"/>
        <v>2025-05</v>
      </c>
    </row>
    <row r="484" spans="1:21" x14ac:dyDescent="0.35">
      <c r="A484" t="s">
        <v>496</v>
      </c>
      <c r="B484" t="s">
        <v>985</v>
      </c>
      <c r="C484" t="s">
        <v>1484</v>
      </c>
      <c r="D484" t="s">
        <v>1503</v>
      </c>
      <c r="E484" s="9" t="s">
        <v>1508</v>
      </c>
      <c r="F484" s="9" t="s">
        <v>1513</v>
      </c>
      <c r="G484" s="7">
        <v>45717</v>
      </c>
      <c r="H484" s="5">
        <v>149</v>
      </c>
      <c r="I484" s="3">
        <v>5.05</v>
      </c>
      <c r="J484" t="s">
        <v>1517</v>
      </c>
      <c r="K484" t="s">
        <v>1521</v>
      </c>
      <c r="L484" t="s">
        <v>1526</v>
      </c>
      <c r="M484">
        <v>44</v>
      </c>
      <c r="N484" t="s">
        <v>1528</v>
      </c>
      <c r="O484">
        <f t="shared" si="42"/>
        <v>2025</v>
      </c>
      <c r="P484">
        <f t="shared" si="43"/>
        <v>3</v>
      </c>
      <c r="Q484" s="3">
        <f t="shared" si="44"/>
        <v>5.4922222222222228</v>
      </c>
      <c r="R484">
        <f t="shared" si="45"/>
        <v>1</v>
      </c>
      <c r="S484" t="str">
        <f t="shared" si="46"/>
        <v>Normal</v>
      </c>
      <c r="U484" t="str">
        <f t="shared" si="47"/>
        <v>2025-03</v>
      </c>
    </row>
    <row r="485" spans="1:21" x14ac:dyDescent="0.35">
      <c r="A485" t="s">
        <v>497</v>
      </c>
      <c r="B485" t="s">
        <v>986</v>
      </c>
      <c r="C485" t="s">
        <v>1485</v>
      </c>
      <c r="D485" t="s">
        <v>1502</v>
      </c>
      <c r="E485" s="9" t="s">
        <v>1509</v>
      </c>
      <c r="F485" s="9" t="s">
        <v>1515</v>
      </c>
      <c r="G485" s="7">
        <v>45763</v>
      </c>
      <c r="H485" s="5">
        <v>139</v>
      </c>
      <c r="I485" s="3">
        <v>0</v>
      </c>
      <c r="J485" t="s">
        <v>1516</v>
      </c>
      <c r="K485" t="s">
        <v>1521</v>
      </c>
      <c r="L485" t="s">
        <v>1525</v>
      </c>
      <c r="M485">
        <v>19</v>
      </c>
      <c r="N485" t="s">
        <v>1528</v>
      </c>
      <c r="O485">
        <f t="shared" si="42"/>
        <v>2025</v>
      </c>
      <c r="P485">
        <f t="shared" si="43"/>
        <v>4</v>
      </c>
      <c r="Q485" s="3">
        <f t="shared" si="44"/>
        <v>5.5182352941176473</v>
      </c>
      <c r="R485">
        <f t="shared" si="45"/>
        <v>1</v>
      </c>
      <c r="S485" t="str">
        <f t="shared" si="46"/>
        <v>Normal</v>
      </c>
      <c r="U485" t="str">
        <f t="shared" si="47"/>
        <v>2025-04</v>
      </c>
    </row>
    <row r="486" spans="1:21" x14ac:dyDescent="0.35">
      <c r="A486" t="s">
        <v>498</v>
      </c>
      <c r="B486" t="s">
        <v>987</v>
      </c>
      <c r="C486" t="s">
        <v>1486</v>
      </c>
      <c r="D486" t="s">
        <v>1505</v>
      </c>
      <c r="E486" s="9" t="s">
        <v>1508</v>
      </c>
      <c r="F486" s="9" t="s">
        <v>1510</v>
      </c>
      <c r="G486" s="7">
        <v>45725</v>
      </c>
      <c r="H486" s="5">
        <v>64</v>
      </c>
      <c r="I486" s="3">
        <v>0</v>
      </c>
      <c r="J486" t="s">
        <v>1516</v>
      </c>
      <c r="K486" t="s">
        <v>1522</v>
      </c>
      <c r="L486" t="s">
        <v>1525</v>
      </c>
      <c r="M486">
        <v>33</v>
      </c>
      <c r="N486" t="s">
        <v>1528</v>
      </c>
      <c r="O486">
        <f t="shared" si="42"/>
        <v>2025</v>
      </c>
      <c r="P486">
        <f t="shared" si="43"/>
        <v>3</v>
      </c>
      <c r="Q486" s="3">
        <f t="shared" si="44"/>
        <v>5.8631250000000001</v>
      </c>
      <c r="R486">
        <f t="shared" si="45"/>
        <v>0</v>
      </c>
      <c r="S486" t="str">
        <f t="shared" si="46"/>
        <v>Normal</v>
      </c>
      <c r="U486" t="str">
        <f t="shared" si="47"/>
        <v>2025-03</v>
      </c>
    </row>
    <row r="487" spans="1:21" x14ac:dyDescent="0.35">
      <c r="A487" t="s">
        <v>499</v>
      </c>
      <c r="B487" t="s">
        <v>988</v>
      </c>
      <c r="C487" t="s">
        <v>1487</v>
      </c>
      <c r="D487" t="s">
        <v>1504</v>
      </c>
      <c r="E487" s="9" t="s">
        <v>1509</v>
      </c>
      <c r="F487" s="9" t="s">
        <v>1510</v>
      </c>
      <c r="G487" s="7">
        <v>45748</v>
      </c>
      <c r="H487" s="5">
        <v>86</v>
      </c>
      <c r="I487" s="3">
        <v>0</v>
      </c>
      <c r="J487" t="s">
        <v>1516</v>
      </c>
      <c r="K487" t="s">
        <v>1521</v>
      </c>
      <c r="L487" t="s">
        <v>1525</v>
      </c>
      <c r="M487">
        <v>17</v>
      </c>
      <c r="N487" t="s">
        <v>1528</v>
      </c>
      <c r="O487">
        <f t="shared" si="42"/>
        <v>2025</v>
      </c>
      <c r="P487">
        <f t="shared" si="43"/>
        <v>4</v>
      </c>
      <c r="Q487" s="3">
        <f t="shared" si="44"/>
        <v>6.2540000000000004</v>
      </c>
      <c r="R487">
        <f t="shared" si="45"/>
        <v>1</v>
      </c>
      <c r="S487" t="str">
        <f t="shared" si="46"/>
        <v>Normal</v>
      </c>
      <c r="U487" t="str">
        <f t="shared" si="47"/>
        <v>2025-04</v>
      </c>
    </row>
    <row r="488" spans="1:21" x14ac:dyDescent="0.35">
      <c r="A488" t="s">
        <v>500</v>
      </c>
      <c r="B488" t="s">
        <v>989</v>
      </c>
      <c r="C488" t="s">
        <v>1488</v>
      </c>
      <c r="D488" t="s">
        <v>1504</v>
      </c>
      <c r="E488" s="9" t="s">
        <v>1508</v>
      </c>
      <c r="F488" s="9" t="s">
        <v>1510</v>
      </c>
      <c r="G488" s="7">
        <v>45764</v>
      </c>
      <c r="H488" s="5">
        <v>13</v>
      </c>
      <c r="I488" s="3">
        <v>0</v>
      </c>
      <c r="J488" t="s">
        <v>1516</v>
      </c>
      <c r="K488" t="s">
        <v>1521</v>
      </c>
      <c r="L488" t="s">
        <v>1525</v>
      </c>
      <c r="M488">
        <v>47</v>
      </c>
      <c r="N488" t="s">
        <v>1528</v>
      </c>
      <c r="O488">
        <f t="shared" si="42"/>
        <v>2025</v>
      </c>
      <c r="P488">
        <f t="shared" si="43"/>
        <v>4</v>
      </c>
      <c r="Q488" s="3">
        <f t="shared" si="44"/>
        <v>6.7007142857142856</v>
      </c>
      <c r="R488">
        <f t="shared" si="45"/>
        <v>1</v>
      </c>
      <c r="S488" t="str">
        <f t="shared" si="46"/>
        <v>Normal</v>
      </c>
      <c r="U488" t="str">
        <f t="shared" si="47"/>
        <v>2025-04</v>
      </c>
    </row>
    <row r="489" spans="1:21" x14ac:dyDescent="0.35">
      <c r="A489" t="s">
        <v>501</v>
      </c>
      <c r="B489" t="s">
        <v>990</v>
      </c>
      <c r="C489" t="s">
        <v>1489</v>
      </c>
      <c r="D489" t="s">
        <v>1504</v>
      </c>
      <c r="E489" s="9" t="s">
        <v>1508</v>
      </c>
      <c r="F489" s="9" t="s">
        <v>1510</v>
      </c>
      <c r="G489" s="7">
        <v>45821</v>
      </c>
      <c r="H489" s="5">
        <v>11</v>
      </c>
      <c r="I489" s="3">
        <v>20.66</v>
      </c>
      <c r="J489" t="s">
        <v>1519</v>
      </c>
      <c r="K489" t="s">
        <v>1521</v>
      </c>
      <c r="L489" t="s">
        <v>1526</v>
      </c>
      <c r="M489">
        <v>40</v>
      </c>
      <c r="N489" t="s">
        <v>1528</v>
      </c>
      <c r="O489">
        <f t="shared" si="42"/>
        <v>2025</v>
      </c>
      <c r="P489">
        <f t="shared" si="43"/>
        <v>6</v>
      </c>
      <c r="Q489" s="3">
        <f t="shared" si="44"/>
        <v>7.2161538461538459</v>
      </c>
      <c r="R489">
        <f t="shared" si="45"/>
        <v>1</v>
      </c>
      <c r="S489" t="str">
        <f t="shared" si="46"/>
        <v>Normal</v>
      </c>
      <c r="U489" t="str">
        <f t="shared" si="47"/>
        <v>2025-06</v>
      </c>
    </row>
    <row r="490" spans="1:21" x14ac:dyDescent="0.35">
      <c r="A490" t="s">
        <v>502</v>
      </c>
      <c r="B490" t="s">
        <v>991</v>
      </c>
      <c r="C490" t="s">
        <v>1490</v>
      </c>
      <c r="D490" t="s">
        <v>1502</v>
      </c>
      <c r="E490" s="9" t="s">
        <v>1508</v>
      </c>
      <c r="F490" s="9" t="s">
        <v>1514</v>
      </c>
      <c r="G490" s="7">
        <v>45662</v>
      </c>
      <c r="H490" s="5">
        <v>55</v>
      </c>
      <c r="I490" s="3">
        <v>0</v>
      </c>
      <c r="J490" t="s">
        <v>1516</v>
      </c>
      <c r="K490" t="s">
        <v>1523</v>
      </c>
      <c r="L490" t="s">
        <v>1525</v>
      </c>
      <c r="M490">
        <v>26</v>
      </c>
      <c r="N490" t="s">
        <v>1528</v>
      </c>
      <c r="O490">
        <f t="shared" si="42"/>
        <v>2025</v>
      </c>
      <c r="P490">
        <f t="shared" si="43"/>
        <v>1</v>
      </c>
      <c r="Q490" s="3">
        <f t="shared" si="44"/>
        <v>6.0958333333333341</v>
      </c>
      <c r="R490">
        <f t="shared" si="45"/>
        <v>0</v>
      </c>
      <c r="S490" t="str">
        <f t="shared" si="46"/>
        <v>Normal</v>
      </c>
      <c r="U490" t="str">
        <f t="shared" si="47"/>
        <v>2025-01</v>
      </c>
    </row>
    <row r="491" spans="1:21" x14ac:dyDescent="0.35">
      <c r="A491" t="s">
        <v>503</v>
      </c>
      <c r="B491" t="s">
        <v>992</v>
      </c>
      <c r="C491" t="s">
        <v>1491</v>
      </c>
      <c r="D491" t="s">
        <v>1505</v>
      </c>
      <c r="E491" s="9" t="s">
        <v>1507</v>
      </c>
      <c r="F491" s="9" t="s">
        <v>1515</v>
      </c>
      <c r="G491" s="7">
        <v>45793</v>
      </c>
      <c r="H491" s="5">
        <v>146</v>
      </c>
      <c r="I491" s="3">
        <v>0</v>
      </c>
      <c r="J491" t="s">
        <v>1516</v>
      </c>
      <c r="K491" t="s">
        <v>1522</v>
      </c>
      <c r="L491" t="s">
        <v>1525</v>
      </c>
      <c r="M491">
        <v>2</v>
      </c>
      <c r="N491" t="s">
        <v>1528</v>
      </c>
      <c r="O491">
        <f t="shared" si="42"/>
        <v>2025</v>
      </c>
      <c r="P491">
        <f t="shared" si="43"/>
        <v>5</v>
      </c>
      <c r="Q491" s="3">
        <f t="shared" si="44"/>
        <v>6.65</v>
      </c>
      <c r="R491">
        <f t="shared" si="45"/>
        <v>0</v>
      </c>
      <c r="S491" t="str">
        <f t="shared" si="46"/>
        <v>Normal</v>
      </c>
      <c r="U491" t="str">
        <f t="shared" si="47"/>
        <v>2025-05</v>
      </c>
    </row>
    <row r="492" spans="1:21" x14ac:dyDescent="0.35">
      <c r="A492" t="s">
        <v>504</v>
      </c>
      <c r="B492" t="s">
        <v>993</v>
      </c>
      <c r="C492" t="s">
        <v>1492</v>
      </c>
      <c r="D492" t="s">
        <v>1505</v>
      </c>
      <c r="E492" s="9" t="s">
        <v>1509</v>
      </c>
      <c r="F492" s="9" t="s">
        <v>1514</v>
      </c>
      <c r="G492" s="7">
        <v>45797</v>
      </c>
      <c r="H492" s="5">
        <v>179</v>
      </c>
      <c r="I492" s="3">
        <v>0</v>
      </c>
      <c r="J492" t="s">
        <v>1516</v>
      </c>
      <c r="K492" t="s">
        <v>1521</v>
      </c>
      <c r="L492" t="s">
        <v>1525</v>
      </c>
      <c r="M492">
        <v>10</v>
      </c>
      <c r="N492" t="s">
        <v>1527</v>
      </c>
      <c r="O492">
        <f t="shared" si="42"/>
        <v>2025</v>
      </c>
      <c r="P492">
        <f t="shared" si="43"/>
        <v>5</v>
      </c>
      <c r="Q492" s="3">
        <f t="shared" si="44"/>
        <v>7.3150000000000004</v>
      </c>
      <c r="R492">
        <f t="shared" si="45"/>
        <v>1</v>
      </c>
      <c r="S492" t="str">
        <f t="shared" si="46"/>
        <v>Suspicious</v>
      </c>
      <c r="U492" t="str">
        <f t="shared" si="47"/>
        <v>2025-05</v>
      </c>
    </row>
    <row r="493" spans="1:21" x14ac:dyDescent="0.35">
      <c r="A493" t="s">
        <v>505</v>
      </c>
      <c r="B493" t="s">
        <v>994</v>
      </c>
      <c r="C493" t="s">
        <v>1493</v>
      </c>
      <c r="D493" t="s">
        <v>1504</v>
      </c>
      <c r="E493" s="9" t="s">
        <v>1509</v>
      </c>
      <c r="F493" s="9" t="s">
        <v>1512</v>
      </c>
      <c r="G493" s="7">
        <v>45738</v>
      </c>
      <c r="H493" s="5">
        <v>63</v>
      </c>
      <c r="I493" s="3">
        <v>0</v>
      </c>
      <c r="J493" t="s">
        <v>1516</v>
      </c>
      <c r="K493" t="s">
        <v>1521</v>
      </c>
      <c r="L493" t="s">
        <v>1525</v>
      </c>
      <c r="M493">
        <v>4</v>
      </c>
      <c r="N493" t="s">
        <v>1528</v>
      </c>
      <c r="O493">
        <f t="shared" si="42"/>
        <v>2025</v>
      </c>
      <c r="P493">
        <f t="shared" si="43"/>
        <v>3</v>
      </c>
      <c r="Q493" s="3">
        <f t="shared" si="44"/>
        <v>8.1277777777777782</v>
      </c>
      <c r="R493">
        <f t="shared" si="45"/>
        <v>1</v>
      </c>
      <c r="S493" t="str">
        <f t="shared" si="46"/>
        <v>Normal</v>
      </c>
      <c r="U493" t="str">
        <f t="shared" si="47"/>
        <v>2025-03</v>
      </c>
    </row>
    <row r="494" spans="1:21" x14ac:dyDescent="0.35">
      <c r="A494" t="s">
        <v>506</v>
      </c>
      <c r="B494" t="s">
        <v>995</v>
      </c>
      <c r="C494" t="s">
        <v>1494</v>
      </c>
      <c r="D494" t="s">
        <v>1503</v>
      </c>
      <c r="E494" s="9" t="s">
        <v>1509</v>
      </c>
      <c r="F494" s="9" t="s">
        <v>1510</v>
      </c>
      <c r="G494" s="7">
        <v>45777</v>
      </c>
      <c r="H494" s="5">
        <v>21</v>
      </c>
      <c r="I494" s="3">
        <v>0</v>
      </c>
      <c r="J494" t="s">
        <v>1516</v>
      </c>
      <c r="K494" t="s">
        <v>1521</v>
      </c>
      <c r="L494" t="s">
        <v>1525</v>
      </c>
      <c r="M494">
        <v>22</v>
      </c>
      <c r="N494" t="s">
        <v>1528</v>
      </c>
      <c r="O494">
        <f t="shared" si="42"/>
        <v>2025</v>
      </c>
      <c r="P494">
        <f t="shared" si="43"/>
        <v>4</v>
      </c>
      <c r="Q494" s="3">
        <f t="shared" si="44"/>
        <v>9.1437500000000007</v>
      </c>
      <c r="R494">
        <f t="shared" si="45"/>
        <v>1</v>
      </c>
      <c r="S494" t="str">
        <f t="shared" si="46"/>
        <v>Normal</v>
      </c>
      <c r="U494" t="str">
        <f t="shared" si="47"/>
        <v>2025-04</v>
      </c>
    </row>
    <row r="495" spans="1:21" x14ac:dyDescent="0.35">
      <c r="A495" t="s">
        <v>507</v>
      </c>
      <c r="B495" t="s">
        <v>996</v>
      </c>
      <c r="C495" t="s">
        <v>1495</v>
      </c>
      <c r="D495" t="s">
        <v>1505</v>
      </c>
      <c r="E495" s="9" t="s">
        <v>1509</v>
      </c>
      <c r="F495" s="9" t="s">
        <v>1510</v>
      </c>
      <c r="G495" s="7">
        <v>45763</v>
      </c>
      <c r="H495" s="5">
        <v>56</v>
      </c>
      <c r="I495" s="3">
        <v>46.31</v>
      </c>
      <c r="J495" t="s">
        <v>1520</v>
      </c>
      <c r="K495" t="s">
        <v>1521</v>
      </c>
      <c r="L495" t="s">
        <v>1526</v>
      </c>
      <c r="M495">
        <v>11</v>
      </c>
      <c r="N495" t="s">
        <v>1527</v>
      </c>
      <c r="O495">
        <f t="shared" si="42"/>
        <v>2025</v>
      </c>
      <c r="P495">
        <f t="shared" si="43"/>
        <v>4</v>
      </c>
      <c r="Q495" s="3">
        <f t="shared" si="44"/>
        <v>10.450000000000001</v>
      </c>
      <c r="R495">
        <f t="shared" si="45"/>
        <v>1</v>
      </c>
      <c r="S495" t="str">
        <f t="shared" si="46"/>
        <v>Normal</v>
      </c>
      <c r="U495" t="str">
        <f t="shared" si="47"/>
        <v>2025-04</v>
      </c>
    </row>
    <row r="496" spans="1:21" x14ac:dyDescent="0.35">
      <c r="A496" t="s">
        <v>508</v>
      </c>
      <c r="B496" t="s">
        <v>997</v>
      </c>
      <c r="C496" t="s">
        <v>1496</v>
      </c>
      <c r="D496" t="s">
        <v>1506</v>
      </c>
      <c r="E496" s="9" t="s">
        <v>1507</v>
      </c>
      <c r="F496" s="9" t="s">
        <v>1515</v>
      </c>
      <c r="G496" s="7">
        <v>45672</v>
      </c>
      <c r="H496" s="5">
        <v>171</v>
      </c>
      <c r="I496" s="3">
        <v>0</v>
      </c>
      <c r="J496" t="s">
        <v>1516</v>
      </c>
      <c r="K496" t="s">
        <v>1521</v>
      </c>
      <c r="L496" t="s">
        <v>1525</v>
      </c>
      <c r="M496">
        <v>35</v>
      </c>
      <c r="N496" t="s">
        <v>1527</v>
      </c>
      <c r="O496">
        <f t="shared" si="42"/>
        <v>2025</v>
      </c>
      <c r="P496">
        <f t="shared" si="43"/>
        <v>1</v>
      </c>
      <c r="Q496" s="3">
        <f t="shared" si="44"/>
        <v>4.4733333333333336</v>
      </c>
      <c r="R496">
        <f t="shared" si="45"/>
        <v>1</v>
      </c>
      <c r="S496" t="str">
        <f t="shared" si="46"/>
        <v>Normal</v>
      </c>
      <c r="U496" t="str">
        <f t="shared" si="47"/>
        <v>2025-01</v>
      </c>
    </row>
    <row r="497" spans="1:21" x14ac:dyDescent="0.35">
      <c r="A497" t="s">
        <v>509</v>
      </c>
      <c r="B497" t="s">
        <v>998</v>
      </c>
      <c r="C497" t="s">
        <v>1497</v>
      </c>
      <c r="D497" t="s">
        <v>1502</v>
      </c>
      <c r="E497" s="9" t="s">
        <v>1508</v>
      </c>
      <c r="F497" s="9" t="s">
        <v>1512</v>
      </c>
      <c r="G497" s="7">
        <v>45743</v>
      </c>
      <c r="H497" s="5">
        <v>24</v>
      </c>
      <c r="I497" s="3">
        <v>0</v>
      </c>
      <c r="J497" t="s">
        <v>1516</v>
      </c>
      <c r="K497" t="s">
        <v>1521</v>
      </c>
      <c r="L497" t="s">
        <v>1526</v>
      </c>
      <c r="M497">
        <v>33</v>
      </c>
      <c r="N497" t="s">
        <v>1528</v>
      </c>
      <c r="O497">
        <f t="shared" si="42"/>
        <v>2025</v>
      </c>
      <c r="P497">
        <f t="shared" si="43"/>
        <v>3</v>
      </c>
      <c r="Q497" s="3">
        <f t="shared" si="44"/>
        <v>5.3680000000000003</v>
      </c>
      <c r="R497">
        <f t="shared" si="45"/>
        <v>1</v>
      </c>
      <c r="S497" t="str">
        <f t="shared" si="46"/>
        <v>Normal</v>
      </c>
      <c r="U497" t="str">
        <f t="shared" si="47"/>
        <v>2025-03</v>
      </c>
    </row>
    <row r="498" spans="1:21" x14ac:dyDescent="0.35">
      <c r="A498" t="s">
        <v>510</v>
      </c>
      <c r="B498" t="s">
        <v>999</v>
      </c>
      <c r="C498" t="s">
        <v>1498</v>
      </c>
      <c r="D498" t="s">
        <v>1506</v>
      </c>
      <c r="E498" s="9" t="s">
        <v>1508</v>
      </c>
      <c r="F498" s="9" t="s">
        <v>1515</v>
      </c>
      <c r="G498" s="7">
        <v>45702</v>
      </c>
      <c r="H498" s="5">
        <v>157</v>
      </c>
      <c r="I498" s="3">
        <v>26.84</v>
      </c>
      <c r="J498" t="s">
        <v>1517</v>
      </c>
      <c r="K498" t="s">
        <v>1521</v>
      </c>
      <c r="L498" t="s">
        <v>1526</v>
      </c>
      <c r="M498">
        <v>25</v>
      </c>
      <c r="N498" t="s">
        <v>1527</v>
      </c>
      <c r="O498">
        <f t="shared" si="42"/>
        <v>2025</v>
      </c>
      <c r="P498">
        <f t="shared" si="43"/>
        <v>2</v>
      </c>
      <c r="Q498" s="3">
        <f t="shared" si="44"/>
        <v>6.71</v>
      </c>
      <c r="R498">
        <f t="shared" si="45"/>
        <v>1</v>
      </c>
      <c r="S498" t="str">
        <f t="shared" si="46"/>
        <v>Normal</v>
      </c>
      <c r="U498" t="str">
        <f t="shared" si="47"/>
        <v>2025-02</v>
      </c>
    </row>
    <row r="499" spans="1:21" x14ac:dyDescent="0.35">
      <c r="A499" t="s">
        <v>511</v>
      </c>
      <c r="B499" t="s">
        <v>1000</v>
      </c>
      <c r="C499" t="s">
        <v>1499</v>
      </c>
      <c r="D499" t="s">
        <v>1502</v>
      </c>
      <c r="E499" s="9" t="s">
        <v>1509</v>
      </c>
      <c r="F499" s="9" t="s">
        <v>1515</v>
      </c>
      <c r="G499" s="7">
        <v>45675</v>
      </c>
      <c r="H499" s="5">
        <v>44</v>
      </c>
      <c r="I499" s="3">
        <v>0</v>
      </c>
      <c r="J499" t="s">
        <v>1516</v>
      </c>
      <c r="K499" t="s">
        <v>1521</v>
      </c>
      <c r="L499" t="s">
        <v>1525</v>
      </c>
      <c r="M499">
        <v>42</v>
      </c>
      <c r="N499" t="s">
        <v>1528</v>
      </c>
      <c r="O499">
        <f t="shared" si="42"/>
        <v>2025</v>
      </c>
      <c r="P499">
        <f t="shared" si="43"/>
        <v>1</v>
      </c>
      <c r="Q499" s="3">
        <f t="shared" si="44"/>
        <v>0</v>
      </c>
      <c r="R499">
        <f t="shared" si="45"/>
        <v>1</v>
      </c>
      <c r="S499" t="str">
        <f t="shared" si="46"/>
        <v>Normal</v>
      </c>
      <c r="U499" t="str">
        <f t="shared" si="47"/>
        <v>2025-01</v>
      </c>
    </row>
    <row r="500" spans="1:21" x14ac:dyDescent="0.35">
      <c r="A500" t="s">
        <v>512</v>
      </c>
      <c r="B500" t="s">
        <v>1001</v>
      </c>
      <c r="C500" t="s">
        <v>1500</v>
      </c>
      <c r="D500" t="s">
        <v>1505</v>
      </c>
      <c r="E500" s="9" t="s">
        <v>1508</v>
      </c>
      <c r="F500" s="9" t="s">
        <v>1514</v>
      </c>
      <c r="G500" s="7">
        <v>45660</v>
      </c>
      <c r="H500" s="5">
        <v>172</v>
      </c>
      <c r="I500" s="3">
        <v>0</v>
      </c>
      <c r="J500" t="s">
        <v>1516</v>
      </c>
      <c r="K500" t="s">
        <v>1523</v>
      </c>
      <c r="L500" t="s">
        <v>1525</v>
      </c>
      <c r="M500">
        <v>4</v>
      </c>
      <c r="N500" t="s">
        <v>1527</v>
      </c>
      <c r="O500">
        <f t="shared" si="42"/>
        <v>2025</v>
      </c>
      <c r="P500">
        <f t="shared" si="43"/>
        <v>1</v>
      </c>
      <c r="Q500" s="3">
        <f t="shared" si="44"/>
        <v>0</v>
      </c>
      <c r="R500">
        <f t="shared" si="45"/>
        <v>0</v>
      </c>
      <c r="S500" t="str">
        <f t="shared" si="46"/>
        <v>Normal</v>
      </c>
      <c r="U500" t="str">
        <f t="shared" si="47"/>
        <v>2025-01</v>
      </c>
    </row>
    <row r="501" spans="1:21" x14ac:dyDescent="0.35">
      <c r="A501" t="s">
        <v>513</v>
      </c>
      <c r="B501" t="s">
        <v>1002</v>
      </c>
      <c r="C501" t="s">
        <v>1501</v>
      </c>
      <c r="D501" t="s">
        <v>1502</v>
      </c>
      <c r="E501" s="9" t="s">
        <v>1507</v>
      </c>
      <c r="F501" s="9" t="s">
        <v>1512</v>
      </c>
      <c r="G501" s="7">
        <v>45656</v>
      </c>
      <c r="H501" s="5">
        <v>20</v>
      </c>
      <c r="I501" s="3">
        <v>0</v>
      </c>
      <c r="J501" t="s">
        <v>1516</v>
      </c>
      <c r="K501" t="s">
        <v>1521</v>
      </c>
      <c r="L501" t="s">
        <v>1526</v>
      </c>
      <c r="M501">
        <v>30</v>
      </c>
      <c r="N501" t="s">
        <v>1528</v>
      </c>
      <c r="O501">
        <f t="shared" si="42"/>
        <v>2024</v>
      </c>
      <c r="P501">
        <f t="shared" si="43"/>
        <v>12</v>
      </c>
      <c r="Q501" s="3">
        <f t="shared" si="44"/>
        <v>0</v>
      </c>
      <c r="R501">
        <f t="shared" si="45"/>
        <v>1</v>
      </c>
      <c r="S501" t="str">
        <f t="shared" si="46"/>
        <v>Normal</v>
      </c>
      <c r="U501" t="str">
        <f t="shared" si="47"/>
        <v>2024-12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Dataset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2025-06-14T14:01:02Z</dcterms:created>
  <dcterms:modified xsi:type="dcterms:W3CDTF">2026-09-30T18:32:48Z</dcterms:modified>
</cp:coreProperties>
</file>